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13_ncr:1_{B55C5E36-41A6-4FEB-B424-33D4366EC717}" xr6:coauthVersionLast="47" xr6:coauthVersionMax="47" xr10:uidLastSave="{00000000-0000-0000-0000-000000000000}"/>
  <bookViews>
    <workbookView xWindow="-120" yWindow="-120" windowWidth="20730" windowHeight="11040" activeTab="5" xr2:uid="{00000000-000D-0000-FFFF-FFFF00000000}"/>
  </bookViews>
  <sheets>
    <sheet name="Sheet1" sheetId="1" r:id="rId1"/>
    <sheet name="Sheet2" sheetId="2" r:id="rId2"/>
    <sheet name="Sheet3" sheetId="3" r:id="rId3"/>
    <sheet name="sheet4" sheetId="5" r:id="rId4"/>
    <sheet name="sheet5" sheetId="6" r:id="rId5"/>
    <sheet name="DASHBOARD" sheetId="9" r:id="rId6"/>
  </sheets>
  <definedNames>
    <definedName name="Slicer_ItemsInCart">#N/A</definedName>
    <definedName name="Slicer_OrderID">#N/A</definedName>
    <definedName name="Slicer_UnitPrice">#N/A</definedName>
    <definedName name="Slicer_UnitPrice1">#N/A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1" l="1"/>
  <c r="L10" i="1"/>
  <c r="L5" i="1"/>
</calcChain>
</file>

<file path=xl/sharedStrings.xml><?xml version="1.0" encoding="utf-8"?>
<sst xmlns="http://schemas.openxmlformats.org/spreadsheetml/2006/main" count="7260" uniqueCount="3082">
  <si>
    <t>OrderID</t>
  </si>
  <si>
    <t>CustomerID</t>
  </si>
  <si>
    <t>Product</t>
  </si>
  <si>
    <t>Quantity</t>
  </si>
  <si>
    <t>UnitPrice</t>
  </si>
  <si>
    <t>ShippingAddress</t>
  </si>
  <si>
    <t>PaymentMethod</t>
  </si>
  <si>
    <t>ItemsInCart</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</si>
  <si>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</si>
  <si>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</si>
  <si>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</si>
  <si>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</si>
  <si>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</si>
  <si>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</si>
  <si>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</si>
  <si>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</si>
  <si>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</si>
  <si>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</si>
  <si>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</si>
  <si>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</si>
  <si>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</si>
  <si>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</si>
  <si>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</si>
  <si>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</si>
  <si>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</si>
  <si>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</si>
  <si>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</si>
  <si>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</si>
  <si>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</si>
  <si>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</si>
  <si>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</si>
  <si>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</si>
  <si>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</si>
  <si>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</si>
  <si>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</si>
  <si>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</si>
  <si>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</si>
  <si>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</si>
  <si>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</si>
  <si>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</si>
  <si>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</si>
  <si>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</si>
  <si>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</si>
  <si>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</si>
  <si>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</si>
  <si>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</si>
  <si>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</si>
  <si>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</si>
  <si>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</si>
  <si>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</si>
  <si>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</si>
  <si>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</si>
  <si>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</si>
  <si>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</si>
  <si>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</si>
  <si>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</si>
  <si>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</si>
  <si>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</si>
  <si>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</si>
  <si>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</si>
  <si>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</si>
  <si>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</si>
  <si>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</si>
  <si>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</si>
  <si>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</si>
  <si>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</si>
  <si>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</si>
  <si>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</si>
  <si>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</si>
  <si>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</si>
  <si>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</si>
  <si>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</si>
  <si>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</si>
  <si>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</si>
  <si>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</si>
  <si>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</si>
  <si>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</si>
  <si>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</si>
  <si>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</si>
  <si>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</si>
  <si>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</si>
  <si>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</si>
  <si>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</si>
  <si>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</si>
  <si>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</si>
  <si>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</si>
  <si>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</si>
  <si>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</si>
  <si>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</si>
  <si>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</si>
  <si>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</si>
  <si>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</si>
  <si>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</si>
  <si>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</si>
  <si>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</si>
  <si>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</si>
  <si>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</si>
  <si>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</si>
  <si>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</si>
  <si>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</si>
  <si>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</si>
  <si>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</si>
  <si>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</si>
  <si>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</si>
  <si>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</si>
  <si>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</si>
  <si>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</si>
  <si>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</si>
  <si>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</si>
  <si>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</si>
  <si>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</si>
  <si>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</si>
  <si>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</si>
  <si>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</si>
  <si>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</si>
  <si>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</si>
  <si>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</si>
  <si>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</si>
  <si>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</si>
  <si>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</si>
  <si>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</si>
  <si>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</si>
  <si>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</si>
  <si>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</si>
  <si>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</si>
  <si>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</si>
  <si>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</si>
  <si>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</si>
  <si>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</si>
  <si>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</si>
  <si>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</si>
  <si>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</si>
  <si>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</si>
  <si>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</si>
  <si>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</si>
  <si>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</si>
  <si>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</si>
  <si>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</si>
  <si>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</si>
  <si>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</si>
  <si>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</si>
  <si>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</si>
  <si>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</si>
  <si>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</si>
  <si>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</si>
  <si>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</si>
  <si>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</si>
  <si>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</si>
  <si>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</si>
  <si>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</si>
  <si>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</si>
  <si>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</si>
  <si>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</si>
  <si>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</si>
  <si>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</si>
  <si>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</si>
  <si>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</si>
  <si>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</si>
  <si>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</si>
  <si>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</si>
  <si>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</si>
  <si>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</si>
  <si>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</si>
  <si>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</si>
  <si>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</si>
  <si>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</si>
  <si>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</si>
  <si>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</si>
  <si>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</si>
  <si>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</si>
  <si>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</si>
  <si>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</si>
  <si>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</si>
  <si>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</si>
  <si>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</si>
  <si>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</si>
  <si>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</si>
  <si>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</si>
  <si>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</si>
  <si>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</si>
  <si>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</si>
  <si>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</si>
  <si>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</si>
  <si>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</si>
  <si>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</si>
  <si>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</si>
  <si>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</si>
  <si>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</si>
  <si>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</si>
  <si>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</si>
  <si>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</si>
  <si>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</si>
  <si>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</si>
  <si>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</si>
  <si>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</si>
  <si>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</si>
  <si>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</si>
  <si>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</si>
  <si>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</si>
  <si>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</si>
  <si>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</si>
  <si>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</si>
  <si>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</si>
  <si>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</si>
  <si>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</si>
  <si>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</si>
  <si>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</si>
  <si>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</si>
  <si>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</si>
  <si>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</si>
  <si>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</si>
  <si>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</si>
  <si>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</si>
  <si>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</si>
  <si>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</si>
  <si>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</si>
  <si>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</si>
  <si>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</si>
  <si>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</si>
  <si>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</si>
  <si>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</si>
  <si>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</si>
  <si>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</si>
  <si>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</si>
  <si>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</si>
  <si>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</si>
  <si>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</si>
  <si>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</si>
  <si>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</si>
  <si>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</si>
  <si>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</si>
  <si>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</si>
  <si>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</si>
  <si>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</si>
  <si>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</si>
  <si>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</si>
  <si>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</si>
  <si>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</si>
  <si>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</si>
  <si>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</si>
  <si>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</si>
  <si>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</si>
  <si>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</si>
  <si>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</si>
  <si>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</si>
  <si>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</si>
  <si>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</si>
  <si>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</si>
  <si>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</si>
  <si>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</si>
  <si>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</si>
  <si>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</si>
  <si>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</si>
  <si>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</si>
  <si>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</si>
  <si>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</si>
  <si>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</si>
  <si>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</si>
  <si>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</si>
  <si>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</si>
  <si>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</si>
  <si>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</si>
  <si>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</si>
  <si>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</si>
  <si>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</si>
  <si>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</si>
  <si>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</si>
  <si>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</si>
  <si>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</si>
  <si>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</si>
  <si>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</si>
  <si>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</si>
  <si>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</si>
  <si>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</si>
  <si>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</si>
  <si>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</si>
  <si>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</si>
  <si>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</si>
  <si>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</si>
  <si>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</si>
  <si>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</si>
  <si>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</si>
  <si>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</si>
  <si>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</si>
  <si>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</si>
  <si>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</si>
  <si>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</si>
  <si>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</si>
  <si>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</si>
  <si>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</si>
  <si>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</si>
  <si>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</si>
  <si>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</si>
  <si>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</si>
  <si>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</si>
  <si>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</si>
  <si>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</si>
  <si>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</si>
  <si>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</si>
  <si>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</si>
  <si>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</si>
  <si>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</si>
  <si>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</si>
  <si>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</si>
  <si>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</si>
  <si>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</si>
  <si>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</si>
  <si>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</si>
  <si>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</si>
  <si>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</si>
  <si>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</si>
  <si>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</si>
  <si>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</si>
  <si>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</si>
  <si>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</si>
  <si>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</si>
  <si>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</si>
  <si>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</si>
  <si>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</si>
  <si>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</si>
  <si>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</si>
  <si>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</si>
  <si>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</si>
  <si>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</si>
  <si>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</si>
  <si>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</si>
  <si>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</si>
  <si>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</si>
  <si>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</si>
  <si>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</si>
  <si>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</si>
  <si>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</si>
  <si>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</si>
  <si>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</si>
  <si>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</si>
  <si>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</si>
  <si>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</si>
  <si>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</si>
  <si>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</si>
  <si>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</si>
  <si>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</si>
  <si>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</si>
  <si>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</si>
  <si>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</si>
  <si>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</si>
  <si>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</si>
  <si>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</si>
  <si>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</si>
  <si>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</si>
  <si>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</si>
  <si>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</si>
  <si>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</si>
  <si>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</si>
  <si>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</si>
  <si>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</si>
  <si>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</si>
  <si>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</si>
  <si>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</si>
  <si>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</si>
  <si>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</si>
  <si>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</si>
  <si>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</si>
  <si>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</si>
  <si>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</si>
  <si>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</si>
  <si>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</si>
  <si>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</si>
  <si>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</si>
  <si>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</si>
  <si>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</si>
  <si>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</si>
  <si>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</si>
  <si>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</si>
  <si>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</si>
  <si>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</si>
  <si>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</si>
  <si>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</si>
  <si>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</si>
  <si>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</si>
  <si>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</si>
  <si>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</si>
  <si>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</si>
  <si>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</si>
  <si>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</si>
  <si>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</si>
  <si>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</si>
  <si>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</si>
  <si>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</si>
  <si>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</si>
  <si>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</si>
  <si>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</si>
  <si>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</si>
  <si>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</si>
  <si>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</si>
  <si>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</si>
  <si>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</si>
  <si>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</si>
  <si>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</si>
  <si>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</si>
  <si>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</si>
  <si>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</si>
  <si>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</si>
  <si>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</si>
  <si>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</si>
  <si>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</si>
  <si>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</si>
  <si>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</si>
  <si>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</si>
  <si>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</si>
  <si>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</si>
  <si>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</si>
  <si>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</si>
  <si>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</si>
  <si>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</si>
  <si>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</si>
  <si>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</si>
  <si>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</si>
  <si>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</si>
  <si>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</si>
  <si>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</si>
  <si>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</si>
  <si>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</si>
  <si>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</si>
  <si>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</si>
  <si>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</si>
  <si>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</si>
  <si>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</si>
  <si>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</si>
  <si>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</si>
  <si>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</si>
  <si>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</si>
  <si>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</si>
  <si>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</si>
  <si>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</si>
  <si>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</si>
  <si>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</si>
  <si>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</si>
  <si>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</si>
  <si>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</si>
  <si>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</si>
  <si>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</si>
  <si>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</si>
  <si>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</si>
  <si>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</si>
  <si>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</si>
  <si>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</si>
  <si>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</si>
  <si>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</si>
  <si>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</si>
  <si>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</si>
  <si>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</si>
  <si>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</si>
  <si>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</si>
  <si>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</si>
  <si>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</si>
  <si>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</si>
  <si>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</si>
  <si>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</si>
  <si>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</si>
  <si>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</si>
  <si>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</si>
  <si>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</si>
  <si>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</si>
  <si>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</si>
  <si>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</si>
  <si>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</si>
  <si>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</si>
  <si>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</si>
  <si>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</si>
  <si>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</si>
  <si>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</si>
  <si>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</si>
  <si>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</si>
  <si>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</si>
  <si>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</si>
  <si>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</si>
  <si>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</si>
  <si>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</si>
  <si>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</si>
  <si>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</si>
  <si>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</si>
  <si>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</si>
  <si>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</si>
  <si>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</si>
  <si>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</si>
  <si>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</si>
  <si>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</si>
  <si>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</si>
  <si>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</si>
  <si>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</si>
  <si>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</si>
  <si>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</si>
  <si>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</si>
  <si>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</si>
  <si>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</si>
  <si>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</si>
  <si>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</si>
  <si>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</si>
  <si>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</si>
  <si>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</si>
  <si>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</si>
  <si>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</si>
  <si>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</si>
  <si>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</si>
  <si>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</si>
  <si>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</si>
  <si>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</si>
  <si>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</si>
  <si>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</si>
  <si>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</si>
  <si>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</si>
  <si>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</si>
  <si>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</si>
  <si>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</si>
  <si>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</si>
  <si>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</si>
  <si>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</si>
  <si>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</si>
  <si>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</si>
  <si>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</si>
  <si>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</si>
  <si>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</si>
  <si>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</si>
  <si>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</si>
  <si>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</si>
  <si>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</si>
  <si>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</si>
  <si>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</si>
  <si>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</si>
  <si>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</si>
  <si>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</si>
  <si>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</si>
  <si>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</si>
  <si>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</si>
  <si>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</si>
  <si>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</si>
  <si>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</si>
  <si>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</si>
  <si>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</si>
  <si>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</si>
  <si>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</si>
  <si>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</si>
  <si>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</si>
  <si>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</si>
  <si>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</si>
  <si>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</si>
  <si>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</si>
  <si>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</si>
  <si>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</si>
  <si>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</si>
  <si>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</si>
  <si>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</si>
  <si>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</si>
  <si>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</si>
  <si>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</si>
  <si>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</si>
  <si>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</si>
  <si>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</si>
  <si>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</si>
  <si>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</si>
  <si>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</si>
  <si>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</si>
  <si>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</si>
  <si>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</si>
  <si>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</si>
  <si>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</si>
  <si>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</si>
  <si>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</si>
  <si>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</si>
  <si>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</si>
  <si>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</si>
  <si>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</si>
  <si>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</si>
  <si>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</si>
  <si>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</si>
  <si>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</si>
  <si>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</si>
  <si>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</si>
  <si>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</si>
  <si>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</si>
  <si>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</si>
  <si>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</si>
  <si>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</si>
  <si>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</si>
  <si>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</si>
  <si>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</si>
  <si>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</si>
  <si>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</si>
  <si>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</si>
  <si>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</si>
  <si>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</si>
  <si>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</si>
  <si>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</si>
  <si>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</si>
  <si>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</si>
  <si>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</si>
  <si>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</si>
  <si>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</si>
  <si>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</si>
  <si>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</si>
  <si>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</si>
  <si>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</si>
  <si>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</si>
  <si>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</si>
  <si>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</si>
  <si>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</si>
  <si>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</si>
  <si>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</si>
  <si>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</si>
  <si>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</si>
  <si>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</si>
  <si>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</si>
  <si>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</si>
  <si>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</si>
  <si>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</si>
  <si>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</si>
  <si>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</si>
  <si>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</si>
  <si>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</si>
  <si>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</si>
  <si>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</si>
  <si>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</si>
  <si>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</si>
  <si>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</si>
  <si>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</si>
  <si>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</si>
  <si>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</si>
  <si>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</si>
  <si>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</si>
  <si>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</si>
  <si>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</si>
  <si>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</si>
  <si>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</si>
  <si>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</si>
  <si>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</si>
  <si>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</si>
  <si>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</si>
  <si>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</si>
  <si>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</si>
  <si>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</si>
  <si>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</si>
  <si>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</si>
  <si>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</si>
  <si>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</si>
  <si>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</si>
  <si>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</si>
  <si>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</si>
  <si>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</si>
  <si>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</si>
  <si>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</si>
  <si>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</si>
  <si>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</si>
  <si>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</si>
  <si>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</si>
  <si>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</si>
  <si>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</si>
  <si>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</si>
  <si>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</si>
  <si>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</si>
  <si>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</si>
  <si>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</si>
  <si>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</si>
  <si>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</si>
  <si>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</si>
  <si>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</si>
  <si>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</si>
  <si>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</si>
  <si>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</si>
  <si>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</si>
  <si>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</si>
  <si>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</si>
  <si>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</si>
  <si>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</si>
  <si>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</si>
  <si>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</si>
  <si>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</si>
  <si>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</si>
  <si>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</si>
  <si>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</si>
  <si>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</si>
  <si>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</si>
  <si>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</si>
  <si>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</si>
  <si>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</si>
  <si>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</si>
  <si>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</si>
  <si>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</si>
  <si>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</si>
  <si>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</si>
  <si>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</si>
  <si>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</si>
  <si>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</si>
  <si>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</si>
  <si>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</si>
  <si>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</si>
  <si>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</si>
  <si>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</si>
  <si>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</si>
  <si>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</si>
  <si>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</si>
  <si>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</si>
  <si>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</si>
  <si>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</si>
  <si>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</si>
  <si>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</si>
  <si>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</si>
  <si>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</si>
  <si>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</si>
  <si>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</si>
  <si>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</si>
  <si>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</si>
  <si>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</si>
  <si>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</si>
  <si>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</si>
  <si>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</si>
  <si>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</si>
  <si>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</si>
  <si>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</si>
  <si>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</si>
  <si>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</si>
  <si>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</si>
  <si>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</si>
  <si>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</si>
  <si>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</si>
  <si>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</si>
  <si>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</si>
  <si>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</si>
  <si>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</si>
  <si>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</si>
  <si>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</si>
  <si>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</si>
  <si>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</si>
  <si>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</si>
  <si>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</si>
  <si>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</si>
  <si>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</si>
  <si>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</si>
  <si>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</si>
  <si>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</si>
  <si>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</si>
  <si>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</si>
  <si>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</si>
  <si>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</si>
  <si>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</si>
  <si>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</si>
  <si>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</si>
  <si>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</si>
  <si>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</si>
  <si>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</si>
  <si>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</si>
  <si>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</si>
  <si>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</si>
  <si>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</si>
  <si>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</si>
  <si>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</si>
  <si>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</si>
  <si>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</si>
  <si>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</si>
  <si>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</si>
  <si>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</si>
  <si>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</si>
  <si>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</si>
  <si>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</si>
  <si>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</si>
  <si>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</si>
  <si>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</si>
  <si>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</si>
  <si>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</si>
  <si>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</si>
  <si>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</si>
  <si>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</si>
  <si>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</si>
  <si>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</si>
  <si>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</si>
  <si>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</si>
  <si>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</si>
  <si>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</si>
  <si>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</si>
  <si>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</si>
  <si>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</si>
  <si>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</si>
  <si>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</si>
  <si>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</si>
  <si>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</si>
  <si>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</si>
  <si>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</si>
  <si>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</si>
  <si>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</si>
  <si>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</si>
  <si>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</si>
  <si>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</si>
  <si>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</si>
  <si>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</si>
  <si>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</si>
  <si>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</si>
  <si>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</si>
  <si>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</si>
  <si>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</si>
  <si>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</si>
  <si>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</si>
  <si>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</si>
  <si>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</si>
  <si>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</si>
  <si>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</si>
  <si>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</si>
  <si>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</si>
  <si>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</si>
  <si>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</si>
  <si>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</si>
  <si>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</si>
  <si>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</si>
  <si>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</si>
  <si>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</si>
  <si>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</si>
  <si>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</si>
  <si>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</si>
  <si>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</si>
  <si>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</si>
  <si>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</si>
  <si>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</si>
  <si>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</si>
  <si>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</si>
  <si>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</si>
  <si>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</si>
  <si>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</si>
  <si>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</si>
  <si>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</si>
  <si>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</si>
  <si>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</si>
  <si>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</si>
  <si>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</si>
  <si>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</si>
  <si>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</si>
  <si>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</si>
  <si>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</si>
  <si>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</si>
  <si>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</si>
  <si>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</si>
  <si>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</si>
  <si>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</si>
  <si>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</si>
  <si>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</si>
  <si>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</si>
  <si>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</si>
  <si>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</si>
  <si>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</si>
  <si>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</si>
  <si>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</si>
  <si>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</si>
  <si>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</si>
  <si>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</si>
  <si>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</si>
  <si>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</si>
  <si>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</si>
  <si>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</si>
  <si>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</si>
  <si>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</si>
  <si>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</si>
  <si>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</si>
  <si>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</si>
  <si>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</si>
  <si>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</si>
  <si>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</si>
  <si>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</si>
  <si>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</si>
  <si>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</si>
  <si>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</si>
  <si>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</si>
  <si>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</si>
  <si>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</si>
  <si>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</si>
  <si>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</si>
  <si>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</si>
  <si>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</si>
  <si>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</si>
  <si>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</si>
  <si>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</si>
  <si>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</si>
  <si>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</si>
  <si>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</si>
  <si>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</si>
  <si>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</si>
  <si>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</si>
  <si>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</si>
  <si>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</si>
  <si>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</si>
  <si>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</si>
  <si>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</si>
  <si>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</si>
  <si>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</si>
  <si>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</si>
  <si>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</si>
  <si>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</si>
  <si>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</si>
  <si>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</si>
  <si>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</si>
  <si>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</si>
  <si>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</si>
  <si>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</si>
  <si>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</si>
  <si>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</si>
  <si>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</si>
  <si>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</si>
  <si>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</si>
  <si>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</si>
  <si>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</si>
  <si>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</si>
  <si>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</si>
  <si>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</si>
  <si>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</si>
  <si>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</si>
  <si>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</si>
  <si>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</si>
  <si>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</si>
  <si>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</si>
  <si>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</si>
  <si>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</si>
  <si>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</si>
  <si>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</si>
  <si>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</si>
  <si>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</si>
  <si>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</si>
  <si>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</si>
  <si>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</si>
  <si>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</si>
  <si>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</si>
  <si>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</si>
  <si>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</si>
  <si>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</si>
  <si>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</si>
  <si>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</si>
  <si>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</si>
  <si>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</si>
  <si>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</si>
  <si>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</si>
  <si>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</si>
  <si>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</si>
  <si>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</si>
  <si>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</si>
  <si>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</si>
  <si>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</si>
  <si>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</si>
  <si>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</si>
  <si>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</si>
  <si>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</si>
  <si>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</si>
  <si>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</si>
  <si>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</si>
  <si>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</si>
  <si>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</si>
  <si>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</si>
  <si>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</si>
  <si>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</si>
  <si>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</si>
  <si>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</si>
  <si>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</si>
  <si>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</si>
  <si>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</si>
  <si>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</si>
  <si>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</si>
  <si>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</si>
  <si>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</si>
  <si>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</si>
  <si>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</si>
  <si>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</si>
  <si>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</si>
  <si>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</si>
  <si>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</si>
  <si>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</si>
  <si>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</si>
  <si>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</si>
  <si>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</si>
  <si>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</si>
  <si>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</si>
  <si>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</si>
  <si>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</si>
  <si>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</si>
  <si>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</si>
  <si>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</si>
  <si>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</si>
  <si>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</si>
  <si>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</si>
  <si>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</si>
  <si>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</si>
  <si>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</si>
  <si>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</si>
  <si>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</si>
  <si>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</si>
  <si>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</si>
  <si>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</si>
  <si>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</si>
  <si>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</si>
  <si>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</si>
  <si>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</si>
  <si>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</si>
  <si>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</si>
  <si>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</si>
  <si>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</si>
  <si>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</si>
  <si>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</si>
  <si>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</si>
  <si>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</si>
  <si>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</si>
  <si>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</si>
  <si>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</si>
  <si>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</si>
  <si>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</si>
  <si>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</si>
  <si>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</si>
  <si>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</si>
  <si>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</si>
  <si>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</si>
  <si>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</si>
  <si>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</si>
  <si>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</si>
  <si>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</si>
  <si>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</si>
  <si>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</si>
  <si>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</si>
  <si>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</si>
  <si>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</si>
  <si>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</si>
  <si>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</si>
  <si>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</si>
  <si>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</si>
  <si>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</si>
  <si>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</si>
  <si>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</si>
  <si>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</si>
  <si>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</si>
  <si>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</si>
  <si>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</si>
  <si>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</si>
  <si>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</si>
  <si>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</si>
  <si>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</si>
  <si>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</si>
  <si>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</si>
  <si>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</si>
  <si>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</si>
  <si>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</si>
  <si>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</si>
  <si>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</si>
  <si>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</si>
  <si>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</si>
  <si>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</si>
  <si>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</si>
  <si>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</si>
  <si>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</si>
  <si>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</si>
  <si>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</si>
  <si>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</si>
  <si>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</si>
  <si>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</si>
  <si>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</si>
  <si>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</si>
  <si>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</si>
  <si>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</si>
  <si>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</si>
  <si>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</si>
  <si>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</si>
  <si>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</si>
  <si>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</si>
  <si>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</si>
  <si>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</si>
  <si>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</si>
  <si>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</si>
  <si>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</si>
  <si>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</si>
  <si>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</si>
  <si>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</si>
  <si>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</si>
  <si>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</si>
  <si>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</si>
  <si>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</si>
  <si>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</si>
  <si>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</si>
  <si>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</si>
  <si>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</si>
  <si>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</si>
  <si>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</si>
  <si>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</si>
  <si>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</si>
  <si>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</si>
  <si>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</si>
  <si>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</si>
  <si>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</si>
  <si>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</si>
  <si>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</si>
  <si>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</si>
  <si>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</si>
  <si>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</si>
  <si>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</si>
  <si>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</si>
  <si>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</si>
  <si>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</si>
  <si>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</si>
  <si>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</si>
  <si>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</si>
  <si>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</si>
  <si>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</si>
  <si>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</si>
  <si>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</si>
  <si>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</si>
  <si>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</si>
  <si>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</si>
  <si>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</si>
  <si>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</si>
  <si>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</si>
  <si>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</si>
  <si>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</si>
  <si>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</si>
  <si>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</si>
  <si>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</si>
  <si>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</si>
  <si>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</si>
  <si>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</si>
  <si>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</si>
  <si>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</si>
  <si>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</si>
  <si>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</si>
  <si>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</si>
  <si>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</si>
  <si>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</si>
  <si>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</si>
  <si>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</si>
  <si>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</si>
  <si>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</si>
  <si>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</si>
  <si>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</si>
  <si>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</si>
  <si>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</si>
  <si>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</si>
  <si>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</si>
  <si>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</si>
  <si>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</si>
  <si>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</si>
  <si>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</si>
  <si>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</si>
  <si>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</si>
  <si>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</si>
  <si>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</si>
  <si>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</si>
  <si>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</si>
  <si>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</si>
  <si>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</si>
  <si>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</si>
  <si>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</si>
  <si>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</si>
  <si>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</si>
  <si>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</si>
  <si>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</si>
  <si>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</si>
  <si>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</si>
  <si>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</si>
  <si>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</si>
  <si>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</si>
  <si>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</si>
  <si>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</si>
  <si>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</si>
  <si>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</si>
  <si>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</si>
  <si>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</si>
  <si>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</si>
  <si>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</si>
  <si>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</si>
  <si>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</si>
  <si>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</si>
  <si>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</si>
  <si>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</si>
  <si>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</si>
  <si>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</si>
  <si>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</si>
  <si>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</si>
  <si>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</si>
  <si>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</si>
  <si>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</si>
  <si>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</si>
  <si>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</si>
  <si>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</si>
  <si>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</si>
  <si>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</si>
  <si>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</si>
  <si>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</si>
  <si>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</si>
  <si>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</si>
  <si>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</si>
  <si>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</si>
  <si>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</si>
  <si>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</si>
  <si>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</si>
  <si>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</si>
  <si>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</si>
  <si>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</si>
  <si>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</si>
  <si>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</si>
  <si>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</si>
  <si>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</si>
  <si>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</si>
  <si>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</si>
  <si>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</si>
  <si>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</si>
  <si>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</si>
  <si>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</si>
  <si>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</si>
  <si>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</si>
  <si>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</si>
  <si>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</si>
  <si>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</si>
  <si>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</si>
  <si>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</si>
  <si>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</si>
  <si>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</si>
  <si>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</si>
  <si>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</si>
  <si>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</si>
  <si>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</si>
  <si>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</si>
  <si>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</si>
  <si>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</si>
  <si>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</si>
  <si>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</si>
  <si>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</si>
  <si>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</si>
  <si>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</si>
  <si>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</si>
  <si>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</si>
  <si>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</si>
  <si>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</si>
  <si>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</si>
  <si>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</si>
  <si>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</si>
  <si>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</si>
  <si>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</si>
  <si>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</si>
  <si>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</si>
  <si>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</si>
  <si>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</si>
  <si>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</si>
  <si>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</si>
  <si>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</si>
  <si>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</si>
  <si>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</si>
  <si>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</si>
  <si>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</si>
  <si>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</si>
  <si>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</si>
  <si>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</si>
  <si>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</si>
  <si>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</si>
  <si>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</si>
  <si>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</si>
  <si>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</si>
  <si>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</si>
  <si>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</si>
  <si>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</si>
  <si>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</si>
  <si>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</si>
  <si>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</si>
  <si>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</si>
  <si>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</si>
  <si>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</si>
  <si>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</si>
  <si>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</si>
  <si>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</si>
  <si>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</si>
  <si>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</si>
  <si>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</si>
  <si>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</si>
  <si>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</si>
  <si>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</si>
  <si>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</si>
  <si>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</si>
  <si>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</si>
  <si>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</si>
  <si>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</si>
  <si>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</si>
  <si>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</si>
  <si>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</si>
  <si>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</si>
  <si>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</si>
  <si>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</si>
  <si>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</si>
  <si>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</si>
  <si>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</si>
  <si>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</si>
  <si>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</si>
  <si>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</si>
  <si>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</si>
  <si>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</si>
  <si>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</si>
  <si>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</si>
  <si>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</si>
  <si>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</si>
  <si>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</si>
  <si>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</si>
  <si>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</si>
  <si>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</si>
  <si>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</si>
  <si>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</si>
  <si>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</si>
  <si>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</si>
  <si>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</si>
  <si>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</si>
  <si>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</si>
  <si>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</si>
  <si>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</si>
  <si>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</si>
  <si>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</si>
  <si>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</si>
  <si>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</si>
  <si>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</si>
  <si>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</si>
  <si>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</si>
  <si>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</si>
  <si>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</si>
  <si>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</si>
  <si>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</si>
  <si>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</si>
  <si>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</si>
  <si>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</si>
  <si>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</si>
  <si>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</si>
  <si>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</si>
  <si>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</si>
  <si>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</si>
  <si>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</si>
  <si>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</si>
  <si>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</si>
  <si>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</si>
  <si>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</si>
  <si>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</si>
  <si>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</si>
  <si>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</si>
  <si>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</si>
  <si>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</si>
  <si>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</si>
  <si>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</si>
  <si>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</si>
  <si>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</si>
  <si>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</si>
  <si>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</si>
  <si>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</si>
  <si>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</si>
  <si>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</si>
  <si>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</si>
  <si>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</si>
  <si>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</si>
  <si>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</si>
  <si>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</si>
  <si>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</si>
  <si>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</si>
  <si>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</si>
  <si>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</si>
  <si>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</si>
  <si>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</si>
  <si>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</si>
  <si>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</si>
  <si>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</si>
  <si>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</si>
  <si>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</si>
  <si>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</si>
  <si>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</si>
  <si>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</si>
  <si>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</si>
  <si>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</si>
  <si>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</si>
  <si>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</si>
  <si>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</si>
  <si>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</si>
  <si>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</si>
  <si>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</si>
  <si>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</si>
  <si>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</si>
  <si>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</si>
  <si>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</si>
  <si>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</si>
  <si>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</si>
  <si>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</si>
  <si>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</si>
  <si>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</si>
  <si>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</si>
  <si>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</si>
  <si>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</si>
  <si>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</si>
  <si>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</si>
  <si>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</si>
  <si>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</si>
  <si>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</si>
  <si>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</si>
  <si>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</si>
  <si>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</si>
  <si>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</si>
  <si>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</si>
  <si>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</si>
  <si>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</si>
  <si>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</si>
  <si>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</si>
  <si>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</si>
  <si>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</si>
  <si>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</si>
  <si>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</si>
  <si>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</si>
  <si>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</si>
  <si>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</si>
  <si>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</si>
  <si>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</si>
  <si>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</si>
  <si>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</si>
  <si>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</si>
  <si>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</si>
  <si>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</si>
  <si>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</si>
  <si>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</si>
  <si>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</si>
  <si>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</si>
  <si>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</si>
  <si>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</si>
  <si>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</si>
  <si>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</si>
  <si>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</si>
  <si>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</si>
  <si>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</si>
  <si>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</si>
  <si>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</si>
  <si>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</si>
  <si>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</si>
  <si>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</si>
  <si>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</si>
  <si>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</si>
  <si>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</si>
  <si>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</si>
  <si>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</si>
  <si>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</si>
  <si>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</si>
  <si>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</si>
  <si>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</si>
  <si>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</si>
  <si>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</si>
  <si>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</si>
  <si>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</si>
  <si>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</si>
  <si>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</si>
  <si>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</si>
  <si>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</si>
  <si>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</si>
  <si>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</si>
  <si>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</si>
  <si>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</si>
  <si>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</si>
  <si>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</si>
  <si>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</si>
  <si>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</si>
  <si>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</si>
  <si>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</si>
  <si>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</si>
  <si>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</si>
  <si>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</si>
  <si>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</si>
  <si>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</si>
  <si>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</si>
  <si>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</si>
  <si>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</si>
  <si>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</si>
  <si>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</si>
  <si>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</si>
  <si>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</si>
  <si>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</si>
  <si>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</si>
  <si>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</si>
  <si>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</si>
  <si>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</si>
  <si>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</si>
  <si>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</si>
  <si>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</si>
  <si>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</si>
  <si>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</si>
  <si>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</si>
  <si>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</si>
  <si>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</si>
  <si>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</si>
  <si>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</si>
  <si>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</si>
  <si>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</si>
  <si>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</si>
  <si>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</si>
  <si>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</si>
  <si>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</si>
  <si>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</si>
  <si>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</si>
  <si>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</si>
  <si>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</si>
  <si>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</si>
  <si>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</si>
  <si>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</si>
  <si>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</si>
  <si>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</si>
  <si>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</si>
  <si>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</si>
  <si>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</si>
  <si>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</si>
  <si>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</si>
  <si>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</si>
  <si>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</si>
  <si>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</si>
  <si>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</si>
  <si>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</si>
  <si>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</si>
  <si>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</si>
  <si>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</si>
  <si>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</si>
  <si>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</si>
  <si>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</si>
  <si>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</si>
  <si>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</si>
  <si>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</si>
  <si>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</si>
  <si>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</si>
  <si>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</si>
  <si>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</si>
  <si>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</si>
  <si>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</si>
  <si>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</si>
  <si>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</si>
  <si>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</si>
  <si>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</si>
  <si>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</si>
  <si>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</si>
  <si>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</si>
  <si>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</si>
  <si>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</si>
  <si>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</si>
  <si>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</si>
  <si>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</si>
  <si>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</si>
  <si>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</si>
  <si>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</si>
  <si>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</si>
  <si>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</si>
  <si>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</si>
  <si>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</si>
  <si>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</si>
  <si>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</si>
  <si>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</si>
  <si>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</si>
  <si>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</si>
  <si>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</si>
  <si>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</si>
  <si>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</si>
  <si>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</si>
  <si>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</si>
  <si>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</si>
  <si>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</si>
  <si>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</si>
  <si>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</si>
  <si>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</si>
  <si>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</si>
  <si>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</si>
  <si>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</si>
  <si>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</si>
  <si>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</si>
  <si>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</si>
  <si>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</si>
  <si>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</si>
  <si>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</si>
  <si>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</si>
  <si>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</si>
  <si>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</si>
  <si>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</si>
  <si>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</si>
  <si>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</si>
  <si>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</si>
  <si>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</si>
  <si>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</si>
  <si>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</si>
  <si>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</si>
  <si>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</si>
  <si>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</si>
  <si>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</si>
  <si>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</si>
  <si>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</si>
  <si>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</si>
  <si>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</si>
  <si>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</si>
  <si>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</si>
  <si>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</si>
  <si>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</si>
  <si>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</si>
  <si>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</si>
  <si>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</si>
  <si>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</si>
  <si>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</si>
  <si>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</si>
  <si>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</si>
  <si>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</si>
  <si>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</si>
  <si>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</si>
  <si>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</si>
  <si>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</si>
  <si>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</si>
  <si>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</si>
  <si>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</si>
  <si>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</si>
  <si>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</si>
  <si>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</si>
  <si>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</si>
  <si>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</si>
  <si>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</si>
  <si>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</si>
  <si>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</si>
  <si>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</si>
  <si>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</si>
  <si>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</si>
  <si>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</si>
  <si>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</si>
  <si>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</si>
  <si>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</si>
  <si>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</si>
  <si>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</si>
  <si>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</si>
  <si>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</si>
  <si>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</si>
  <si>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</si>
  <si>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</si>
  <si>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</si>
  <si>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</si>
  <si>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</si>
  <si>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</si>
  <si>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</si>
  <si>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</si>
  <si>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</si>
  <si>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</si>
  <si>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</si>
  <si>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</si>
  <si>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</si>
  <si>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</si>
  <si>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</si>
  <si>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</si>
  <si>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</si>
  <si>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</si>
  <si>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</si>
  <si>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</si>
  <si>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</si>
  <si>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</si>
  <si>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</si>
  <si>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</si>
  <si>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</si>
  <si>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</si>
  <si>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</si>
  <si>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</si>
  <si>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</si>
  <si>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</si>
  <si>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</si>
  <si>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</si>
  <si>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</si>
  <si>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</si>
  <si>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</si>
  <si>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</si>
  <si>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</si>
  <si>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</si>
  <si>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</si>
  <si>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</si>
  <si>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</si>
  <si>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</si>
  <si>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</si>
  <si>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</si>
  <si>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</si>
  <si>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</si>
  <si>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</si>
  <si>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</si>
  <si>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</si>
  <si>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</si>
  <si>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</si>
  <si>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</si>
  <si>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</si>
  <si>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</si>
  <si>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</si>
  <si>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</si>
  <si>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</si>
  <si>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</si>
  <si>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</si>
  <si>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</si>
  <si>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</si>
  <si>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</si>
  <si>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</si>
  <si>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</si>
  <si>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</si>
  <si>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</si>
  <si>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</si>
  <si>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</si>
  <si>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</si>
  <si>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</si>
  <si>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</si>
  <si>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</si>
  <si>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</si>
  <si>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</si>
  <si>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</si>
  <si>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</si>
  <si>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</si>
  <si>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</si>
  <si>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</si>
  <si>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</si>
  <si>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</si>
  <si>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</si>
  <si>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</si>
  <si>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</si>
  <si>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</si>
  <si>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</si>
  <si>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</si>
  <si>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</si>
  <si>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</si>
  <si>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</si>
  <si>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</si>
  <si>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</si>
  <si>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</si>
  <si>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</si>
  <si>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</si>
  <si>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</si>
  <si>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</si>
  <si>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</si>
  <si>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</si>
  <si>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</si>
  <si>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</si>
  <si>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</si>
  <si>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</si>
  <si>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</si>
  <si>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</si>
  <si>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</si>
  <si>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</si>
  <si>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</si>
  <si>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</si>
  <si>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</si>
  <si>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</si>
  <si>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</si>
  <si>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</si>
  <si>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</si>
  <si>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</si>
  <si>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</si>
  <si>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</si>
  <si>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</si>
  <si>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</si>
  <si>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</si>
  <si>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</si>
  <si>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</si>
  <si>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</si>
  <si>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</si>
  <si>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</si>
  <si>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</si>
  <si>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</si>
  <si>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</si>
  <si>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</si>
  <si>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</si>
  <si>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</si>
  <si>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</si>
  <si>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</si>
  <si>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</si>
  <si>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</si>
  <si>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</si>
  <si>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</si>
  <si>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</si>
  <si>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</si>
  <si>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</si>
  <si>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</si>
  <si>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</si>
  <si>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</si>
  <si>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</si>
  <si>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</si>
  <si>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</si>
  <si>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</si>
  <si>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</si>
  <si>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</si>
  <si>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</si>
  <si>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</si>
  <si>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</si>
  <si>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</si>
  <si>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</si>
  <si>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</si>
  <si>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</si>
  <si>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</si>
  <si>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</si>
  <si>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</si>
  <si>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</si>
  <si>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</si>
  <si>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</si>
  <si>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</si>
  <si>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</si>
  <si>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</si>
  <si>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</si>
  <si>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</si>
  <si>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</si>
  <si>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</si>
  <si>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</si>
  <si>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</si>
  <si>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</si>
  <si>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</si>
  <si>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</si>
  <si>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</si>
  <si>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</si>
  <si>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</si>
  <si>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</si>
  <si>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</si>
  <si>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</si>
  <si>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</si>
  <si>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</si>
  <si>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</si>
  <si>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</si>
  <si>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</si>
  <si>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</si>
  <si>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</si>
  <si>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</si>
  <si>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</si>
  <si>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</si>
  <si>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</si>
  <si>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</si>
  <si>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</si>
  <si>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</si>
  <si>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</si>
  <si>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</si>
  <si>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</si>
  <si>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</si>
  <si>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</si>
  <si>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</si>
  <si>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</si>
  <si>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</si>
  <si>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</si>
  <si>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</si>
  <si>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</si>
  <si>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</si>
  <si>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</si>
  <si>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</si>
  <si>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</si>
  <si>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</si>
  <si>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</si>
  <si>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</si>
  <si>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</si>
  <si>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</si>
  <si>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</si>
  <si>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</si>
  <si>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</si>
  <si>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</si>
  <si>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</si>
  <si>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</si>
  <si>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</si>
  <si>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</si>
  <si>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</si>
  <si>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</si>
  <si>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</si>
  <si>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</si>
  <si>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</si>
  <si>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</si>
  <si>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</si>
  <si>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</si>
  <si>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</si>
  <si>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</si>
  <si>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</si>
  <si>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</si>
  <si>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</si>
  <si>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</si>
  <si>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</si>
  <si>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</si>
  <si>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</si>
  <si>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</si>
  <si>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</si>
  <si>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</si>
  <si>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</si>
  <si>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</si>
  <si>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</si>
  <si>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</si>
  <si>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</si>
  <si>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</si>
  <si>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</si>
  <si>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</si>
  <si>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</si>
  <si>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</si>
  <si>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</si>
  <si>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</si>
  <si>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</si>
  <si>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</si>
  <si>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</si>
  <si>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</si>
  <si>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</si>
  <si>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</si>
  <si>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</si>
  <si>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</si>
  <si>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</si>
  <si>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</si>
  <si>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</si>
  <si>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</si>
  <si>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</si>
  <si>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</si>
  <si>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</si>
  <si>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</si>
  <si>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</si>
  <si>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</si>
  <si>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</si>
  <si>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</si>
  <si>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</si>
  <si>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</si>
  <si>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</si>
  <si>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</si>
  <si>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</si>
  <si>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</si>
  <si>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</si>
  <si>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</si>
  <si>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</si>
  <si>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</si>
  <si>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</si>
  <si>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</si>
  <si>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</si>
  <si>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</si>
  <si>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</si>
  <si>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</si>
  <si>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</si>
  <si>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</si>
  <si>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</si>
  <si>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</si>
  <si>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</si>
  <si>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</si>
  <si>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</si>
  <si>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</si>
  <si>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</si>
  <si>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</si>
  <si>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</si>
  <si>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</si>
  <si>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</si>
  <si>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</si>
  <si>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</si>
  <si>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</si>
  <si>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</si>
  <si>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</si>
  <si>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</si>
  <si>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</si>
  <si>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</si>
  <si>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</si>
  <si>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</si>
  <si>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</si>
  <si>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</si>
  <si>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</si>
  <si>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</si>
  <si>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</si>
  <si>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</si>
  <si>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</si>
  <si>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</si>
  <si>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</si>
  <si>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</si>
  <si>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</si>
  <si>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</si>
  <si>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</si>
  <si>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</si>
  <si>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</si>
  <si>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</si>
  <si>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</si>
  <si>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</si>
  <si>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</si>
  <si>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</si>
  <si>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</si>
  <si>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</si>
  <si>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</si>
  <si>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</si>
  <si>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</si>
  <si>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</si>
  <si>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</si>
  <si>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</si>
  <si>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</si>
  <si>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</si>
  <si>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</si>
  <si>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</si>
  <si>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</si>
  <si>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</si>
  <si>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</si>
  <si>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</si>
  <si>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</si>
  <si>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</si>
  <si>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</si>
  <si>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</si>
  <si>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</si>
  <si>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</si>
  <si>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</si>
  <si>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</si>
  <si>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</si>
  <si>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</si>
  <si>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</si>
  <si>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</si>
  <si>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</si>
  <si>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</si>
  <si>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</si>
  <si>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</si>
  <si>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</si>
  <si>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</si>
  <si>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</si>
  <si>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</si>
  <si>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</si>
  <si>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</si>
  <si>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</si>
  <si>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</si>
  <si>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</si>
  <si>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</si>
  <si>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</si>
  <si>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</si>
  <si>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</si>
  <si>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</si>
  <si>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</si>
  <si>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</si>
  <si>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</si>
  <si>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</si>
  <si>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</si>
  <si>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</si>
  <si>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</si>
  <si>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</si>
  <si>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</si>
  <si>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</si>
  <si>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</si>
  <si>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</si>
  <si>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</si>
  <si>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</si>
  <si>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</si>
  <si>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</si>
  <si>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</si>
  <si>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</si>
  <si>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</si>
  <si>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</si>
  <si>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</si>
  <si>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</si>
  <si>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</si>
  <si>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</si>
  <si>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</si>
  <si>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</si>
  <si>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</si>
  <si>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</si>
  <si>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</si>
  <si>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</si>
  <si>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</si>
  <si>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</si>
  <si>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</si>
  <si>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</si>
  <si>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</si>
  <si>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</si>
  <si>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</si>
  <si>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</si>
  <si>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</si>
  <si>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</si>
  <si>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</si>
  <si>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</si>
  <si>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</si>
  <si>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</si>
  <si>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</si>
  <si>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</si>
  <si>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</si>
  <si>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</si>
  <si>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</si>
  <si>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</si>
  <si>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</si>
  <si>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</si>
  <si>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</si>
  <si>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</si>
  <si>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</si>
  <si>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</si>
  <si>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</si>
  <si>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</si>
  <si>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</si>
  <si>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</si>
  <si>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</si>
  <si>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</si>
  <si>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</si>
  <si>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</si>
  <si>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</si>
  <si>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</si>
  <si>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</si>
  <si>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</si>
  <si>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</si>
  <si>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</si>
  <si>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</si>
  <si>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</si>
  <si>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</si>
  <si>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</si>
  <si>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</si>
  <si>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</si>
  <si>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</si>
  <si>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</si>
  <si>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</si>
  <si>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</si>
  <si>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</si>
  <si>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</si>
  <si>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</si>
  <si>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</si>
  <si>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</si>
  <si>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</si>
  <si>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</si>
  <si>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</si>
  <si>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</si>
  <si>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</si>
  <si>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</si>
  <si>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</si>
  <si>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</si>
  <si>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</si>
  <si>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</si>
  <si>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</si>
  <si>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</si>
  <si>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</si>
  <si>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</si>
  <si>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</si>
  <si>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</si>
  <si>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</si>
  <si>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</si>
  <si>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</si>
  <si>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</si>
  <si>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</si>
  <si>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</si>
  <si>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</si>
  <si>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</si>
  <si>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</si>
  <si>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</si>
  <si>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</si>
  <si>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</si>
  <si>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</si>
  <si>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</si>
  <si>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</si>
  <si>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</si>
  <si>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</si>
  <si>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</si>
  <si>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</si>
  <si>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</si>
  <si>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</si>
  <si>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</si>
  <si>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</si>
  <si>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</si>
  <si>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</si>
  <si>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</si>
  <si>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</si>
  <si>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</si>
  <si>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</si>
  <si>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</si>
  <si>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</si>
  <si>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</si>
  <si>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</si>
  <si>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</si>
  <si>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</si>
  <si>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</si>
  <si>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</si>
  <si>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</si>
  <si>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</si>
  <si>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</si>
  <si>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</si>
  <si>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</si>
  <si>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</si>
  <si>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</si>
  <si>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</si>
  <si>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</si>
  <si>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</si>
  <si>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</si>
  <si>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</si>
  <si>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</si>
  <si>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</si>
  <si>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</si>
  <si>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</si>
  <si>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</si>
  <si>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</si>
  <si>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</si>
  <si>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</si>
  <si>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</si>
  <si>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</si>
  <si>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</si>
  <si>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</si>
  <si>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</si>
  <si>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</si>
  <si>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</si>
  <si>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</si>
  <si>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</si>
  <si>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</si>
  <si>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</si>
  <si>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</si>
  <si>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</si>
  <si>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</si>
  <si>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</si>
  <si>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</si>
  <si>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</si>
  <si>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</si>
  <si>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</si>
  <si>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</si>
  <si>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</si>
  <si>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</si>
  <si>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</si>
  <si>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</si>
  <si>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</si>
  <si>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</si>
  <si>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</si>
  <si>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</si>
  <si>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</si>
  <si>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</si>
  <si>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</si>
  <si>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</si>
  <si>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</si>
  <si>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</si>
  <si>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</si>
  <si>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</si>
  <si>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</si>
  <si>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</si>
  <si>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</si>
  <si>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</si>
  <si>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</si>
  <si>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</si>
  <si>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</si>
  <si>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</si>
  <si>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</si>
  <si>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</si>
  <si>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</si>
  <si>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</si>
  <si>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</si>
  <si>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</si>
  <si>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</si>
  <si>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</si>
  <si>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</si>
  <si>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</si>
  <si>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</si>
  <si>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</si>
  <si>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</si>
  <si>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</si>
  <si>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</si>
  <si>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</si>
  <si>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</si>
  <si>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</si>
  <si>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</si>
  <si>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</si>
  <si>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</si>
  <si>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</si>
  <si>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</si>
  <si>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</si>
  <si>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</si>
  <si>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</si>
  <si>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</si>
  <si>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</si>
  <si>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</si>
  <si>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</si>
  <si>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</si>
  <si>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</si>
  <si>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</si>
  <si>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</si>
  <si>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</si>
  <si>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</si>
  <si>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</si>
  <si>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</si>
  <si>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</si>
  <si>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</si>
  <si>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</si>
  <si>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</si>
  <si>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</si>
  <si>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</si>
  <si>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</si>
  <si>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</si>
  <si>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</si>
  <si>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</si>
  <si>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</si>
  <si>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</si>
  <si>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</si>
  <si>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</si>
  <si>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</si>
  <si>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</si>
  <si>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</si>
  <si>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</si>
  <si>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</si>
  <si>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</si>
  <si>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</si>
  <si>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</si>
  <si>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</si>
  <si>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</si>
  <si>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</si>
  <si>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</si>
  <si>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</si>
  <si>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</si>
  <si>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</si>
  <si>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</si>
  <si>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</si>
  <si>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</si>
  <si>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</si>
  <si>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</si>
  <si>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</si>
  <si>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</si>
  <si>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</si>
  <si>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</si>
  <si>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</si>
  <si>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</si>
  <si>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</si>
  <si>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</si>
  <si>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</si>
  <si>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</si>
  <si>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</si>
  <si>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</si>
  <si>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</si>
  <si>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</si>
  <si>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</si>
  <si>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</si>
  <si>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</si>
  <si>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</si>
  <si>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</si>
  <si>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</si>
  <si>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</si>
  <si>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</si>
  <si>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</si>
  <si>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</si>
  <si>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</si>
  <si>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</si>
  <si>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</si>
  <si>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</si>
  <si>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</si>
  <si>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</si>
  <si>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</si>
  <si>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</si>
  <si>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</si>
  <si>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</si>
  <si>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</si>
  <si>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</si>
  <si>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</si>
  <si>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</si>
  <si>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</si>
  <si>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</si>
  <si>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</si>
  <si>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</si>
  <si>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</si>
  <si>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</si>
  <si>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</si>
  <si>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</si>
  <si>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</si>
  <si>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</si>
  <si>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</si>
  <si>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</si>
  <si>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</si>
  <si>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</si>
  <si>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</si>
  <si>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</si>
  <si>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</si>
  <si>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</si>
  <si>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</si>
  <si>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</si>
  <si>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</si>
  <si>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</si>
  <si>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</si>
  <si>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</si>
  <si>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</si>
  <si>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</si>
  <si>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</si>
  <si>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</si>
  <si>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</si>
  <si>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</si>
  <si>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</si>
  <si>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</si>
  <si>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</si>
  <si>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</si>
  <si>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</si>
  <si>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</si>
  <si>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</si>
  <si>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</si>
  <si>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</si>
  <si>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</si>
  <si>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</si>
  <si>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</si>
  <si>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</si>
  <si>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</si>
  <si>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</si>
  <si>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</si>
  <si>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</si>
  <si>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</si>
  <si>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</si>
  <si>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</si>
  <si>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</si>
  <si>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</si>
  <si>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</si>
  <si>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</si>
  <si>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</si>
  <si>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</si>
  <si>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</si>
  <si>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</si>
  <si>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</si>
  <si>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</si>
  <si>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</si>
  <si>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</si>
  <si>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</si>
  <si>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</si>
  <si>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</si>
  <si>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</si>
  <si>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</si>
  <si>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</si>
  <si>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</si>
  <si>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</si>
  <si>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</si>
  <si>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</si>
  <si>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</si>
  <si>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</si>
  <si>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</si>
  <si>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</si>
  <si>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</si>
  <si>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</si>
  <si>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</si>
  <si>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</si>
  <si>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</si>
  <si>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</si>
  <si>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</si>
  <si>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</si>
  <si>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</si>
  <si>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</si>
  <si>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</si>
  <si>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</si>
  <si>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</si>
  <si>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</si>
  <si>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</si>
  <si>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</si>
  <si>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</si>
  <si>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</si>
  <si>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</si>
  <si>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</si>
  <si>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</si>
  <si>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</si>
  <si>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</si>
  <si>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</si>
  <si>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</si>
  <si>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</si>
  <si>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</si>
  <si>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</si>
  <si>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</si>
  <si>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</si>
  <si>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</si>
  <si>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</si>
  <si>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</si>
  <si>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</si>
  <si>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</si>
  <si>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</si>
  <si>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</si>
  <si>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</si>
  <si>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</si>
  <si>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</si>
  <si>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</si>
  <si>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</si>
  <si>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</si>
  <si>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</si>
  <si>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</si>
  <si>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</si>
  <si>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</si>
  <si>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</si>
  <si>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</si>
  <si>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</si>
  <si>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</si>
  <si>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</si>
  <si>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</si>
  <si>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</si>
  <si>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</si>
  <si>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</si>
  <si>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</si>
  <si>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</si>
  <si>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</si>
  <si>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</si>
  <si>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</si>
  <si>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</si>
  <si>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</si>
  <si>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</si>
  <si>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</si>
  <si>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</si>
  <si>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</si>
  <si>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</si>
  <si>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</si>
  <si>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</si>
  <si>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</si>
  <si>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</si>
  <si>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</si>
  <si>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</si>
  <si>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</si>
  <si>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</si>
  <si>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</si>
  <si>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</si>
  <si>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</si>
  <si>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</si>
  <si>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</si>
  <si>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</si>
  <si>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</si>
  <si>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</si>
  <si>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</si>
  <si>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</si>
  <si>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</si>
  <si>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</si>
  <si>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</si>
  <si>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</si>
  <si>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</si>
  <si>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</si>
  <si>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</si>
  <si>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</si>
  <si>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</si>
  <si>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</si>
  <si>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</si>
  <si>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</si>
  <si>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</si>
  <si>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</si>
  <si>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</si>
  <si>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</si>
  <si>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</si>
  <si>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</si>
  <si>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</si>
  <si>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</si>
  <si>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</si>
  <si>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</si>
  <si>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</si>
  <si>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</si>
  <si>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</si>
  <si>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</si>
  <si>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</si>
  <si>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</si>
  <si>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</si>
  <si>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</si>
  <si>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</si>
  <si>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</si>
  <si>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</si>
  <si>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</si>
  <si>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</si>
  <si>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</si>
  <si>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</si>
  <si>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</si>
  <si>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</si>
  <si>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</si>
  <si>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</si>
  <si>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</si>
  <si>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</si>
  <si>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</si>
  <si>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</si>
  <si>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</si>
  <si>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</si>
  <si>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</si>
  <si>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</si>
  <si>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</si>
  <si>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</si>
  <si>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</si>
  <si>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</si>
  <si>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</si>
  <si>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</si>
  <si>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</si>
  <si>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</si>
  <si>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</si>
  <si>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</si>
  <si>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</si>
  <si>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</si>
  <si>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</si>
  <si>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</si>
  <si>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</si>
  <si>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</si>
  <si>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</si>
  <si>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</si>
  <si>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</si>
  <si>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</si>
  <si>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</si>
  <si>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</si>
  <si>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</si>
  <si>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</si>
  <si>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</si>
  <si>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</si>
  <si>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</si>
  <si>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</si>
  <si>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</si>
  <si>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</si>
  <si>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</si>
  <si>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</si>
  <si>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</si>
  <si>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</si>
  <si>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</si>
  <si>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</si>
  <si>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</si>
  <si>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</si>
  <si>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</si>
  <si>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</si>
  <si>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</si>
  <si>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</si>
  <si>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</si>
  <si>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</si>
  <si>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</si>
  <si>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</si>
  <si>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</si>
  <si>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</si>
  <si>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</si>
  <si>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</si>
  <si>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</si>
  <si>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</si>
  <si>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</si>
  <si>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</si>
  <si>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</si>
  <si>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</si>
  <si>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</si>
  <si>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</si>
  <si>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</si>
  <si>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</si>
  <si>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</si>
  <si>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</si>
  <si>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</si>
  <si>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</si>
  <si>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</si>
  <si>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</si>
  <si>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</si>
  <si>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</si>
  <si>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</si>
  <si>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</si>
  <si>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</si>
  <si>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</si>
  <si>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</si>
  <si>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</si>
  <si>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</si>
  <si>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</si>
  <si>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</si>
  <si>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</si>
  <si>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</si>
  <si>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</si>
  <si>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</si>
  <si>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</si>
  <si>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</si>
  <si>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</si>
  <si>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</si>
  <si>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</si>
  <si>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</si>
  <si>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</si>
  <si>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</si>
  <si>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</si>
  <si>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</si>
  <si>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</si>
  <si>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</si>
  <si>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</si>
  <si>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</si>
  <si>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</si>
  <si>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</si>
  <si>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</si>
  <si>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</si>
  <si>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</si>
  <si>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</si>
  <si>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</si>
  <si>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</si>
  <si>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</si>
  <si>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</si>
  <si>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</si>
  <si>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</si>
  <si>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</si>
  <si>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</si>
  <si>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</si>
  <si>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</si>
  <si>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</si>
  <si>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</si>
  <si>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</si>
  <si>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</si>
  <si>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</si>
  <si>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</si>
  <si>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</si>
  <si>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</si>
  <si>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</si>
  <si>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</si>
  <si>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</si>
  <si>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</si>
  <si>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</si>
  <si>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</si>
  <si>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</si>
  <si>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</si>
  <si>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</si>
  <si>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</si>
  <si>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</si>
  <si>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</si>
  <si>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</si>
  <si>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</si>
  <si>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</si>
  <si>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</si>
  <si>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</si>
  <si>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</si>
  <si>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</si>
  <si>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</si>
  <si>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</si>
  <si>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</si>
  <si>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</si>
  <si>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</si>
  <si>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</si>
  <si>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</si>
  <si>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</si>
  <si>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</si>
  <si>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</si>
  <si>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</si>
  <si>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</si>
  <si>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</si>
  <si>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</si>
  <si>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</si>
  <si>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</si>
  <si>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</si>
  <si>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</si>
  <si>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</si>
  <si>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</si>
  <si>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</si>
  <si>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</si>
  <si>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</si>
  <si>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</si>
  <si>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</si>
  <si>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</si>
  <si>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</si>
  <si>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</si>
  <si>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</si>
  <si>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</si>
  <si>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</si>
  <si>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</si>
  <si>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</si>
  <si>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</si>
  <si>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</si>
  <si>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</si>
  <si>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</si>
  <si>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</si>
  <si>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</si>
  <si>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</si>
  <si>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</si>
  <si>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</si>
  <si>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</si>
  <si>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</si>
  <si>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</si>
  <si>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</si>
  <si>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</si>
  <si>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</si>
  <si>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</si>
  <si>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</si>
  <si>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</si>
  <si>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</si>
  <si>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</si>
  <si>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</si>
  <si>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</si>
  <si>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</si>
  <si>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</si>
  <si>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</si>
  <si>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</si>
  <si>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</si>
  <si>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</si>
  <si>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</si>
  <si>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</si>
  <si>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</si>
  <si>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</si>
  <si>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</si>
  <si>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</si>
  <si>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</si>
  <si>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</si>
  <si>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</si>
  <si>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</si>
  <si>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</si>
  <si>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</si>
  <si>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</si>
  <si>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</si>
  <si>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</si>
  <si>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</si>
  <si>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</si>
  <si>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</si>
  <si>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</si>
  <si>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</si>
  <si>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</si>
  <si>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</si>
  <si>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</si>
  <si>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</si>
  <si>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</si>
  <si>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</si>
  <si>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</si>
  <si>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</si>
  <si>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</si>
  <si>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</si>
  <si>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</si>
  <si>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</si>
  <si>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</si>
  <si>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</si>
  <si>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</si>
  <si>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</si>
  <si>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</si>
  <si>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</si>
  <si>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</si>
  <si>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</si>
  <si>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</si>
  <si>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</si>
  <si>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</si>
  <si>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</si>
  <si>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</si>
  <si>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</si>
  <si>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</si>
  <si>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</si>
  <si>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</si>
  <si>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</si>
  <si>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</si>
  <si>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</si>
  <si>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</si>
  <si>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</si>
  <si>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</si>
  <si>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</si>
  <si>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</si>
  <si>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</si>
  <si>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</si>
  <si>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</si>
  <si>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</si>
  <si>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</si>
  <si>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</si>
  <si>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</si>
  <si>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</si>
  <si>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</si>
  <si>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</si>
  <si>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</si>
  <si>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</si>
  <si>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</si>
  <si>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</si>
  <si>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</si>
  <si>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</si>
  <si>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</si>
  <si>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</si>
  <si>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</si>
  <si>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</si>
  <si>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</si>
  <si>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</si>
  <si>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</si>
  <si>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</si>
  <si>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</si>
  <si>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</si>
  <si>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</si>
  <si>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</si>
  <si>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</si>
  <si>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</si>
  <si>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</si>
  <si>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</si>
  <si>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</si>
  <si>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</si>
  <si>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</si>
  <si>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</si>
  <si>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</si>
  <si>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</si>
  <si>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</si>
  <si>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</si>
  <si>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</si>
  <si>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</si>
  <si>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</si>
  <si>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</si>
  <si>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</si>
  <si>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</si>
  <si>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</si>
  <si>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</si>
  <si>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</si>
  <si>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</si>
  <si>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</si>
  <si>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</si>
  <si>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</si>
  <si>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</si>
  <si>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</si>
  <si>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</si>
  <si>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</si>
  <si>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</si>
  <si>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</si>
  <si>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</si>
  <si>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</si>
  <si>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</si>
  <si>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</si>
  <si>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</si>
  <si>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</si>
  <si>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</si>
  <si>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</si>
  <si>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</si>
  <si>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</si>
  <si>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</si>
  <si>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</si>
  <si>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</si>
  <si>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</si>
  <si>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</si>
  <si>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</si>
  <si>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</si>
  <si>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</si>
  <si>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</si>
  <si>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</si>
  <si>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</si>
  <si>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</si>
  <si>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</si>
  <si>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</si>
  <si>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</si>
  <si>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</si>
  <si>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</si>
  <si>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</si>
  <si>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</si>
  <si>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</si>
  <si>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</si>
  <si>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</si>
  <si>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</si>
  <si>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</si>
  <si>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</si>
  <si>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</si>
  <si>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</si>
  <si>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</si>
  <si>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</si>
  <si>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</si>
  <si>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</si>
  <si>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</si>
  <si>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</si>
  <si>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</si>
  <si>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</si>
  <si>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</si>
  <si>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</si>
  <si>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</si>
  <si>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</si>
  <si>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</si>
  <si>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</si>
  <si>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</si>
  <si>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</si>
  <si>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</si>
  <si>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</si>
  <si>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</si>
  <si>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</si>
  <si>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</si>
  <si>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</si>
  <si>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</si>
  <si>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</si>
  <si>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</si>
  <si>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</si>
  <si>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</si>
  <si>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</si>
  <si>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</si>
  <si>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</si>
  <si>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</si>
  <si>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</si>
  <si>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</si>
  <si>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</si>
  <si>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</si>
  <si>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</si>
  <si>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</si>
  <si>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</si>
  <si>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</si>
  <si>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</si>
  <si>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</si>
  <si>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</si>
  <si>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</si>
  <si>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</si>
  <si>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</si>
  <si>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</si>
  <si>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</si>
  <si>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</si>
  <si>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</si>
  <si>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</si>
  <si>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</si>
  <si>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</si>
  <si>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</si>
  <si>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</si>
  <si>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</si>
  <si>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</si>
  <si>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</si>
  <si>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</si>
  <si>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</si>
  <si>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</si>
  <si>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</si>
  <si>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</si>
  <si>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</si>
  <si>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</si>
  <si>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</si>
  <si>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</si>
  <si>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</si>
  <si>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</si>
  <si>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</si>
  <si>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</si>
  <si>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</si>
  <si>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</si>
  <si>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</si>
  <si>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</si>
  <si>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</si>
  <si>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</si>
  <si>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</si>
  <si>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</si>
  <si>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</si>
  <si>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</si>
  <si>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</si>
  <si>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</si>
  <si>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</si>
  <si>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</si>
  <si>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</si>
  <si>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</si>
  <si>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</si>
  <si>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</si>
  <si>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</si>
  <si>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</si>
  <si>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</si>
  <si>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</si>
  <si>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</si>
  <si>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</si>
  <si>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</si>
  <si>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</si>
  <si>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</si>
  <si>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</si>
  <si>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</si>
  <si>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</si>
  <si>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</si>
  <si>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</si>
  <si>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</si>
  <si>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</si>
  <si>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</si>
  <si>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</si>
  <si>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</si>
  <si>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</si>
  <si>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</si>
  <si>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</si>
  <si>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</si>
  <si>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</si>
  <si>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</si>
  <si>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</si>
  <si>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</si>
  <si>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</si>
  <si>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</si>
  <si>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</si>
  <si>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</si>
  <si>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</si>
  <si>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</si>
  <si>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</si>
  <si>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</si>
  <si>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</si>
  <si>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</si>
  <si>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</si>
  <si>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</si>
  <si>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</si>
  <si>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</si>
  <si>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</si>
  <si>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</si>
  <si>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</si>
  <si>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</si>
  <si>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</si>
  <si>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</si>
  <si>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</si>
  <si>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</si>
  <si>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</si>
  <si>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</si>
  <si>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</si>
  <si>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</si>
  <si>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</si>
  <si>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</si>
  <si>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</si>
  <si>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</si>
  <si>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</si>
  <si>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</si>
  <si>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</si>
  <si>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</si>
  <si>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</si>
  <si>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</si>
  <si>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</si>
  <si>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</si>
  <si>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</si>
  <si>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</si>
  <si>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</si>
  <si>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</si>
  <si>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</si>
  <si>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</si>
  <si>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</si>
  <si>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</si>
  <si>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</si>
  <si>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</si>
  <si>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</si>
  <si>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</si>
  <si>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</si>
  <si>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</si>
  <si>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</si>
  <si>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</si>
  <si>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</si>
  <si>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</si>
  <si>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</si>
  <si>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</si>
  <si>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</si>
  <si>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</si>
  <si>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</si>
  <si>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</si>
  <si>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</si>
  <si>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</si>
  <si>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</si>
  <si>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</si>
  <si>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</si>
  <si>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</si>
  <si>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</si>
  <si>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</si>
  <si>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</si>
  <si>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</si>
  <si>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</si>
  <si>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</si>
  <si>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</si>
  <si>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Instagram</t>
  </si>
  <si>
    <t>Referral</t>
  </si>
  <si>
    <t>Email</t>
  </si>
  <si>
    <t>Facebook</t>
  </si>
  <si>
    <t>Google</t>
  </si>
  <si>
    <t xml:space="preserve">TOTAL REVENUE </t>
  </si>
  <si>
    <t>TOTAL ORDERS</t>
  </si>
  <si>
    <t>AVERAGE UNIT PRICE</t>
  </si>
  <si>
    <t>Row Labels</t>
  </si>
  <si>
    <t>Sum of UnitPrice</t>
  </si>
  <si>
    <t>(blank)</t>
  </si>
  <si>
    <t>Grand Total</t>
  </si>
  <si>
    <t>Sum of Quantity</t>
  </si>
  <si>
    <t>Sum of ItemsInCart</t>
  </si>
  <si>
    <t>Count of OrderID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</si>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</sst>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project.xlx.xlsx]Sheet2!PivotTable2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UNIT PRICE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Sheet2!$A$4:$A$12</c:f>
              <c:strCache>
                <c:ptCount val="8"/>
                <c:pt idx="0">
                  <c:v>Chair</c:v>
                </c:pt>
                <c:pt idx="1">
                  <c:v>Desk</c:v>
                </c:pt>
                <c:pt idx="2">
                  <c:v>Laptop</c:v>
                </c:pt>
                <c:pt idx="3">
                  <c:v>Monitor</c:v>
                </c:pt>
                <c:pt idx="4">
                  <c:v>Phone</c:v>
                </c:pt>
                <c:pt idx="5">
                  <c:v>Printer</c:v>
                </c:pt>
                <c:pt idx="6">
                  <c:v>Tablet</c:v>
                </c:pt>
                <c:pt idx="7">
                  <c:v>(blank)</c:v>
                </c:pt>
              </c:strCache>
            </c:strRef>
          </c:cat>
          <c:val>
            <c:numRef>
              <c:f>Sheet2!$B$4:$B$12</c:f>
              <c:numCache>
                <c:formatCode>General</c:formatCode>
                <c:ptCount val="8"/>
                <c:pt idx="0">
                  <c:v>63307.529999999992</c:v>
                </c:pt>
                <c:pt idx="1">
                  <c:v>56033.379999999961</c:v>
                </c:pt>
                <c:pt idx="2">
                  <c:v>61883.319999999985</c:v>
                </c:pt>
                <c:pt idx="3">
                  <c:v>58462.17</c:v>
                </c:pt>
                <c:pt idx="4">
                  <c:v>58533.940000000017</c:v>
                </c:pt>
                <c:pt idx="5">
                  <c:v>63660.400000000045</c:v>
                </c:pt>
                <c:pt idx="6">
                  <c:v>65814.559999999969</c:v>
                </c:pt>
              </c:numCache>
            </c:numRef>
          </c:val>
          <c:extLst>
            <c:ext xmlns:c16="http://schemas.microsoft.com/office/drawing/2014/chart" uri="{C3380CC4-5D6E-409C-BE32-E72D297353CC}">
              <c16:uniqueId val="{00000000-794F-4476-94A1-432157A585CE}"/>
            </c:ext>
          </c:extLst>
        </c:ser>
        <c:dLbls>
          <c:dLblPos val="inEnd"/>
          <c:showLegendKey val="0"/>
          <c:showVal val="1"/>
          <c:showCatName val="0"/>
          <c:showSerName val="0"/>
          <c:showPercent val="0"/>
          <c:showBubbleSize val="0"/>
        </c:dLbls>
        <c:gapWidth val="315"/>
        <c:overlap val="-40"/>
        <c:axId val="131596671"/>
        <c:axId val="131598111"/>
      </c:barChart>
      <c:catAx>
        <c:axId val="131596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598111"/>
        <c:crosses val="autoZero"/>
        <c:auto val="1"/>
        <c:lblAlgn val="ctr"/>
        <c:lblOffset val="100"/>
        <c:noMultiLvlLbl val="0"/>
      </c:catAx>
      <c:valAx>
        <c:axId val="131598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59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project.xlx.xlsx]Sheet3!PivotTable4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 COUNT OF ORDER ID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2C6-4D7B-A303-FFCD637903E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2C6-4D7B-A303-FFCD637903E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2C6-4D7B-A303-FFCD637903E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2C6-4D7B-A303-FFCD637903E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2C6-4D7B-A303-FFCD637903E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2C6-4D7B-A303-FFCD637903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Sheet3!$A$4:$A$10</c:f>
              <c:strCache>
                <c:ptCount val="6"/>
                <c:pt idx="0">
                  <c:v>Email</c:v>
                </c:pt>
                <c:pt idx="1">
                  <c:v>Facebook</c:v>
                </c:pt>
                <c:pt idx="2">
                  <c:v>Google</c:v>
                </c:pt>
                <c:pt idx="3">
                  <c:v>Instagram</c:v>
                </c:pt>
                <c:pt idx="4">
                  <c:v>Referral</c:v>
                </c:pt>
                <c:pt idx="5">
                  <c:v>(blank)</c:v>
                </c:pt>
              </c:strCache>
            </c:strRef>
          </c:cat>
          <c:val>
            <c:numRef>
              <c:f>Sheet3!$B$4:$B$10</c:f>
              <c:numCache>
                <c:formatCode>General</c:formatCode>
                <c:ptCount val="6"/>
                <c:pt idx="0">
                  <c:v>250</c:v>
                </c:pt>
                <c:pt idx="1">
                  <c:v>228</c:v>
                </c:pt>
                <c:pt idx="2">
                  <c:v>241</c:v>
                </c:pt>
                <c:pt idx="3">
                  <c:v>259</c:v>
                </c:pt>
                <c:pt idx="4">
                  <c:v>222</c:v>
                </c:pt>
              </c:numCache>
            </c:numRef>
          </c:val>
          <c:extLst>
            <c:ext xmlns:c16="http://schemas.microsoft.com/office/drawing/2014/chart" uri="{C3380CC4-5D6E-409C-BE32-E72D297353CC}">
              <c16:uniqueId val="{00000000-4F0A-45E9-8D22-6DF3E7DBB3E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project.xlx.xlsx]sheet4!PivotTable8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Chair</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sheet4!$B$5:$B$16</c:f>
              <c:numCache>
                <c:formatCode>General</c:formatCode>
                <c:ptCount val="11"/>
                <c:pt idx="0">
                  <c:v>1237.08</c:v>
                </c:pt>
                <c:pt idx="1">
                  <c:v>3929.7499999999995</c:v>
                </c:pt>
                <c:pt idx="2">
                  <c:v>2650.96</c:v>
                </c:pt>
                <c:pt idx="3">
                  <c:v>9083.15</c:v>
                </c:pt>
                <c:pt idx="4">
                  <c:v>11962.930000000002</c:v>
                </c:pt>
                <c:pt idx="5">
                  <c:v>14183.929999999998</c:v>
                </c:pt>
                <c:pt idx="6">
                  <c:v>6938.8399999999992</c:v>
                </c:pt>
                <c:pt idx="7">
                  <c:v>7947.1</c:v>
                </c:pt>
                <c:pt idx="8">
                  <c:v>2743.42</c:v>
                </c:pt>
                <c:pt idx="9">
                  <c:v>2630.37</c:v>
                </c:pt>
              </c:numCache>
            </c:numRef>
          </c:val>
          <c:smooth val="0"/>
          <c:extLst>
            <c:ext xmlns:c16="http://schemas.microsoft.com/office/drawing/2014/chart" uri="{C3380CC4-5D6E-409C-BE32-E72D297353CC}">
              <c16:uniqueId val="{00000000-737B-4C14-BB2C-D88DF9BBBB9A}"/>
            </c:ext>
          </c:extLst>
        </c:ser>
        <c:ser>
          <c:idx val="1"/>
          <c:order val="1"/>
          <c:tx>
            <c:strRef>
              <c:f>sheet4!$C$3:$C$4</c:f>
              <c:strCache>
                <c:ptCount val="1"/>
                <c:pt idx="0">
                  <c:v>Desk</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sheet4!$C$5:$C$16</c:f>
              <c:numCache>
                <c:formatCode>General</c:formatCode>
                <c:ptCount val="11"/>
                <c:pt idx="0">
                  <c:v>1438.03</c:v>
                </c:pt>
                <c:pt idx="1">
                  <c:v>4576.8100000000004</c:v>
                </c:pt>
                <c:pt idx="2">
                  <c:v>6368.7500000000018</c:v>
                </c:pt>
                <c:pt idx="3">
                  <c:v>5589.35</c:v>
                </c:pt>
                <c:pt idx="4">
                  <c:v>9357.1</c:v>
                </c:pt>
                <c:pt idx="5">
                  <c:v>8948.1200000000008</c:v>
                </c:pt>
                <c:pt idx="6">
                  <c:v>8259.4</c:v>
                </c:pt>
                <c:pt idx="7">
                  <c:v>6146.1399999999994</c:v>
                </c:pt>
                <c:pt idx="8">
                  <c:v>2846.9199999999996</c:v>
                </c:pt>
                <c:pt idx="9">
                  <c:v>2502.7599999999998</c:v>
                </c:pt>
              </c:numCache>
            </c:numRef>
          </c:val>
          <c:smooth val="0"/>
          <c:extLst>
            <c:ext xmlns:c16="http://schemas.microsoft.com/office/drawing/2014/chart" uri="{C3380CC4-5D6E-409C-BE32-E72D297353CC}">
              <c16:uniqueId val="{00000008-58CD-4DBA-9281-6F0E262240FD}"/>
            </c:ext>
          </c:extLst>
        </c:ser>
        <c:ser>
          <c:idx val="2"/>
          <c:order val="2"/>
          <c:tx>
            <c:strRef>
              <c:f>sheet4!$D$3:$D$4</c:f>
              <c:strCache>
                <c:ptCount val="1"/>
                <c:pt idx="0">
                  <c:v>Laptop</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sheet4!$D$5:$D$16</c:f>
              <c:numCache>
                <c:formatCode>General</c:formatCode>
                <c:ptCount val="11"/>
                <c:pt idx="0">
                  <c:v>2240.0300000000002</c:v>
                </c:pt>
                <c:pt idx="1">
                  <c:v>4057.7599999999998</c:v>
                </c:pt>
                <c:pt idx="2">
                  <c:v>6971.8699999999981</c:v>
                </c:pt>
                <c:pt idx="3">
                  <c:v>8470.630000000001</c:v>
                </c:pt>
                <c:pt idx="4">
                  <c:v>10236.910000000002</c:v>
                </c:pt>
                <c:pt idx="5">
                  <c:v>11471.399999999998</c:v>
                </c:pt>
                <c:pt idx="6">
                  <c:v>7472.8399999999983</c:v>
                </c:pt>
                <c:pt idx="7">
                  <c:v>5814.1899999999987</c:v>
                </c:pt>
                <c:pt idx="8">
                  <c:v>3134.2699999999995</c:v>
                </c:pt>
                <c:pt idx="9">
                  <c:v>2013.4199999999998</c:v>
                </c:pt>
              </c:numCache>
            </c:numRef>
          </c:val>
          <c:smooth val="0"/>
          <c:extLst>
            <c:ext xmlns:c16="http://schemas.microsoft.com/office/drawing/2014/chart" uri="{C3380CC4-5D6E-409C-BE32-E72D297353CC}">
              <c16:uniqueId val="{00000009-58CD-4DBA-9281-6F0E262240FD}"/>
            </c:ext>
          </c:extLst>
        </c:ser>
        <c:ser>
          <c:idx val="3"/>
          <c:order val="3"/>
          <c:tx>
            <c:strRef>
              <c:f>sheet4!$E$3:$E$4</c:f>
              <c:strCache>
                <c:ptCount val="1"/>
                <c:pt idx="0">
                  <c:v>Monitor</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sheet4!$E$5:$E$16</c:f>
              <c:numCache>
                <c:formatCode>General</c:formatCode>
                <c:ptCount val="11"/>
                <c:pt idx="0">
                  <c:v>3156.89</c:v>
                </c:pt>
                <c:pt idx="1">
                  <c:v>3063.73</c:v>
                </c:pt>
                <c:pt idx="2">
                  <c:v>4656.58</c:v>
                </c:pt>
                <c:pt idx="3">
                  <c:v>10038.329999999998</c:v>
                </c:pt>
                <c:pt idx="4">
                  <c:v>9162.4800000000014</c:v>
                </c:pt>
                <c:pt idx="5">
                  <c:v>7010.5399999999991</c:v>
                </c:pt>
                <c:pt idx="6">
                  <c:v>9157.36</c:v>
                </c:pt>
                <c:pt idx="7">
                  <c:v>6327.7300000000005</c:v>
                </c:pt>
                <c:pt idx="8">
                  <c:v>2483.13</c:v>
                </c:pt>
                <c:pt idx="9">
                  <c:v>3405.4000000000005</c:v>
                </c:pt>
              </c:numCache>
            </c:numRef>
          </c:val>
          <c:smooth val="0"/>
          <c:extLst>
            <c:ext xmlns:c16="http://schemas.microsoft.com/office/drawing/2014/chart" uri="{C3380CC4-5D6E-409C-BE32-E72D297353CC}">
              <c16:uniqueId val="{0000000A-58CD-4DBA-9281-6F0E262240FD}"/>
            </c:ext>
          </c:extLst>
        </c:ser>
        <c:ser>
          <c:idx val="4"/>
          <c:order val="4"/>
          <c:tx>
            <c:strRef>
              <c:f>sheet4!$F$3:$F$4</c:f>
              <c:strCache>
                <c:ptCount val="1"/>
                <c:pt idx="0">
                  <c:v>Phone</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sheet4!$F$5:$F$16</c:f>
              <c:numCache>
                <c:formatCode>General</c:formatCode>
                <c:ptCount val="11"/>
                <c:pt idx="0">
                  <c:v>4215.96</c:v>
                </c:pt>
                <c:pt idx="1">
                  <c:v>5625.75</c:v>
                </c:pt>
                <c:pt idx="2">
                  <c:v>6023.9199999999992</c:v>
                </c:pt>
                <c:pt idx="3">
                  <c:v>10277.85</c:v>
                </c:pt>
                <c:pt idx="4">
                  <c:v>9042.19</c:v>
                </c:pt>
                <c:pt idx="5">
                  <c:v>7856.6499999999987</c:v>
                </c:pt>
                <c:pt idx="6">
                  <c:v>3841.4500000000003</c:v>
                </c:pt>
                <c:pt idx="7">
                  <c:v>6058.59</c:v>
                </c:pt>
                <c:pt idx="8">
                  <c:v>4921.6699999999992</c:v>
                </c:pt>
                <c:pt idx="9">
                  <c:v>669.91000000000008</c:v>
                </c:pt>
              </c:numCache>
            </c:numRef>
          </c:val>
          <c:smooth val="0"/>
          <c:extLst>
            <c:ext xmlns:c16="http://schemas.microsoft.com/office/drawing/2014/chart" uri="{C3380CC4-5D6E-409C-BE32-E72D297353CC}">
              <c16:uniqueId val="{0000000B-58CD-4DBA-9281-6F0E262240FD}"/>
            </c:ext>
          </c:extLst>
        </c:ser>
        <c:ser>
          <c:idx val="5"/>
          <c:order val="5"/>
          <c:tx>
            <c:strRef>
              <c:f>sheet4!$G$3:$G$4</c:f>
              <c:strCache>
                <c:ptCount val="1"/>
                <c:pt idx="0">
                  <c:v>Printer</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sheet4!$G$5:$G$16</c:f>
              <c:numCache>
                <c:formatCode>General</c:formatCode>
                <c:ptCount val="11"/>
                <c:pt idx="0">
                  <c:v>1749.8299999999997</c:v>
                </c:pt>
                <c:pt idx="1">
                  <c:v>2223.12</c:v>
                </c:pt>
                <c:pt idx="2">
                  <c:v>9345.94</c:v>
                </c:pt>
                <c:pt idx="3">
                  <c:v>5455.7999999999993</c:v>
                </c:pt>
                <c:pt idx="4">
                  <c:v>9002.510000000002</c:v>
                </c:pt>
                <c:pt idx="5">
                  <c:v>11254.09</c:v>
                </c:pt>
                <c:pt idx="6">
                  <c:v>8790.5400000000009</c:v>
                </c:pt>
                <c:pt idx="7">
                  <c:v>9170.02</c:v>
                </c:pt>
                <c:pt idx="8">
                  <c:v>4902.6899999999996</c:v>
                </c:pt>
                <c:pt idx="9">
                  <c:v>1765.8600000000001</c:v>
                </c:pt>
              </c:numCache>
            </c:numRef>
          </c:val>
          <c:smooth val="0"/>
          <c:extLst>
            <c:ext xmlns:c16="http://schemas.microsoft.com/office/drawing/2014/chart" uri="{C3380CC4-5D6E-409C-BE32-E72D297353CC}">
              <c16:uniqueId val="{0000000C-58CD-4DBA-9281-6F0E262240FD}"/>
            </c:ext>
          </c:extLst>
        </c:ser>
        <c:ser>
          <c:idx val="6"/>
          <c:order val="6"/>
          <c:tx>
            <c:strRef>
              <c:f>sheet4!$H$3:$H$4</c:f>
              <c:strCache>
                <c:ptCount val="1"/>
                <c:pt idx="0">
                  <c:v>Tablet</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sheet4!$H$5:$H$16</c:f>
              <c:numCache>
                <c:formatCode>General</c:formatCode>
                <c:ptCount val="11"/>
                <c:pt idx="0">
                  <c:v>4396.1900000000005</c:v>
                </c:pt>
                <c:pt idx="1">
                  <c:v>3904.33</c:v>
                </c:pt>
                <c:pt idx="2">
                  <c:v>6560.9800000000005</c:v>
                </c:pt>
                <c:pt idx="3">
                  <c:v>6353.7500000000009</c:v>
                </c:pt>
                <c:pt idx="4">
                  <c:v>13015.539999999999</c:v>
                </c:pt>
                <c:pt idx="5">
                  <c:v>9295.7700000000023</c:v>
                </c:pt>
                <c:pt idx="6">
                  <c:v>6820.9000000000015</c:v>
                </c:pt>
                <c:pt idx="7">
                  <c:v>6896.0300000000007</c:v>
                </c:pt>
                <c:pt idx="8">
                  <c:v>5521.1799999999985</c:v>
                </c:pt>
                <c:pt idx="9">
                  <c:v>3049.89</c:v>
                </c:pt>
              </c:numCache>
            </c:numRef>
          </c:val>
          <c:smooth val="0"/>
          <c:extLst>
            <c:ext xmlns:c16="http://schemas.microsoft.com/office/drawing/2014/chart" uri="{C3380CC4-5D6E-409C-BE32-E72D297353CC}">
              <c16:uniqueId val="{0000000D-58CD-4DBA-9281-6F0E262240FD}"/>
            </c:ext>
          </c:extLst>
        </c:ser>
        <c:ser>
          <c:idx val="7"/>
          <c:order val="7"/>
          <c:tx>
            <c:strRef>
              <c:f>sheet4!$I$3:$I$4</c:f>
              <c:strCache>
                <c:ptCount val="1"/>
                <c:pt idx="0">
                  <c:v>(blank)</c:v>
                </c:pt>
              </c:strCache>
            </c:strRef>
          </c:tx>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sheet4!$I$5:$I$16</c:f>
              <c:numCache>
                <c:formatCode>General</c:formatCode>
                <c:ptCount val="11"/>
              </c:numCache>
            </c:numRef>
          </c:val>
          <c:smooth val="0"/>
          <c:extLst>
            <c:ext xmlns:c16="http://schemas.microsoft.com/office/drawing/2014/chart" uri="{C3380CC4-5D6E-409C-BE32-E72D297353CC}">
              <c16:uniqueId val="{0000000E-58CD-4DBA-9281-6F0E262240FD}"/>
            </c:ext>
          </c:extLst>
        </c:ser>
        <c:dLbls>
          <c:showLegendKey val="0"/>
          <c:showVal val="0"/>
          <c:showCatName val="0"/>
          <c:showSerName val="0"/>
          <c:showPercent val="0"/>
          <c:showBubbleSize val="0"/>
        </c:dLbls>
        <c:marker val="1"/>
        <c:smooth val="0"/>
        <c:axId val="1173831807"/>
        <c:axId val="1173832287"/>
      </c:lineChart>
      <c:catAx>
        <c:axId val="11738318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832287"/>
        <c:crosses val="autoZero"/>
        <c:auto val="1"/>
        <c:lblAlgn val="ctr"/>
        <c:lblOffset val="100"/>
        <c:noMultiLvlLbl val="0"/>
      </c:catAx>
      <c:valAx>
        <c:axId val="117383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83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project.xlx.xlsx]sheet5!PivotTable10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ITEM CART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sheet5!$B$4:$B$12</c:f>
              <c:numCache>
                <c:formatCode>General</c:formatCode>
                <c:ptCount val="8"/>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3130-4CA5-ADB5-248BF5480F3A}"/>
            </c:ext>
          </c:extLst>
        </c:ser>
        <c:ser>
          <c:idx val="1"/>
          <c:order val="1"/>
          <c:tx>
            <c:strRef>
              <c:f>sheet5!$C$3</c:f>
              <c:strCache>
                <c:ptCount val="1"/>
                <c:pt idx="0">
                  <c:v>Sum of ItemsInCart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sheet5!$C$4:$C$12</c:f>
              <c:numCache>
                <c:formatCode>General</c:formatCode>
                <c:ptCount val="8"/>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1-3130-4CA5-ADB5-248BF5480F3A}"/>
            </c:ext>
          </c:extLst>
        </c:ser>
        <c:ser>
          <c:idx val="2"/>
          <c:order val="2"/>
          <c:tx>
            <c:strRef>
              <c:f>sheet5!$D$3</c:f>
              <c:strCache>
                <c:ptCount val="1"/>
                <c:pt idx="0">
                  <c:v>Count of OrderID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sheet5!$D$4:$D$12</c:f>
              <c:numCache>
                <c:formatCode>General</c:formatCode>
                <c:ptCount val="8"/>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2-3130-4CA5-ADB5-248BF5480F3A}"/>
            </c:ext>
          </c:extLst>
        </c:ser>
        <c:dLbls>
          <c:dLblPos val="outEnd"/>
          <c:showLegendKey val="0"/>
          <c:showVal val="1"/>
          <c:showCatName val="0"/>
          <c:showSerName val="0"/>
          <c:showPercent val="0"/>
          <c:showBubbleSize val="0"/>
        </c:dLbls>
        <c:gapWidth val="115"/>
        <c:overlap val="-20"/>
        <c:axId val="345148415"/>
        <c:axId val="345147935"/>
      </c:barChart>
      <c:catAx>
        <c:axId val="345148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47935"/>
        <c:crosses val="autoZero"/>
        <c:auto val="1"/>
        <c:lblAlgn val="ctr"/>
        <c:lblOffset val="100"/>
        <c:noMultiLvlLbl val="0"/>
      </c:catAx>
      <c:valAx>
        <c:axId val="34514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4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project.xlx.xlsx]Sheet2!PivotTable2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UNIT PRICE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Sheet2!$A$4:$A$12</c:f>
              <c:strCache>
                <c:ptCount val="8"/>
                <c:pt idx="0">
                  <c:v>Chair</c:v>
                </c:pt>
                <c:pt idx="1">
                  <c:v>Desk</c:v>
                </c:pt>
                <c:pt idx="2">
                  <c:v>Laptop</c:v>
                </c:pt>
                <c:pt idx="3">
                  <c:v>Monitor</c:v>
                </c:pt>
                <c:pt idx="4">
                  <c:v>Phone</c:v>
                </c:pt>
                <c:pt idx="5">
                  <c:v>Printer</c:v>
                </c:pt>
                <c:pt idx="6">
                  <c:v>Tablet</c:v>
                </c:pt>
                <c:pt idx="7">
                  <c:v>(blank)</c:v>
                </c:pt>
              </c:strCache>
            </c:strRef>
          </c:cat>
          <c:val>
            <c:numRef>
              <c:f>Sheet2!$B$4:$B$12</c:f>
              <c:numCache>
                <c:formatCode>General</c:formatCode>
                <c:ptCount val="8"/>
                <c:pt idx="0">
                  <c:v>63307.529999999992</c:v>
                </c:pt>
                <c:pt idx="1">
                  <c:v>56033.379999999961</c:v>
                </c:pt>
                <c:pt idx="2">
                  <c:v>61883.319999999985</c:v>
                </c:pt>
                <c:pt idx="3">
                  <c:v>58462.17</c:v>
                </c:pt>
                <c:pt idx="4">
                  <c:v>58533.940000000017</c:v>
                </c:pt>
                <c:pt idx="5">
                  <c:v>63660.400000000045</c:v>
                </c:pt>
                <c:pt idx="6">
                  <c:v>65814.559999999969</c:v>
                </c:pt>
              </c:numCache>
            </c:numRef>
          </c:val>
          <c:extLst>
            <c:ext xmlns:c16="http://schemas.microsoft.com/office/drawing/2014/chart" uri="{C3380CC4-5D6E-409C-BE32-E72D297353CC}">
              <c16:uniqueId val="{00000001-C479-4C52-9046-267D85253344}"/>
            </c:ext>
          </c:extLst>
        </c:ser>
        <c:dLbls>
          <c:dLblPos val="inEnd"/>
          <c:showLegendKey val="0"/>
          <c:showVal val="1"/>
          <c:showCatName val="0"/>
          <c:showSerName val="0"/>
          <c:showPercent val="0"/>
          <c:showBubbleSize val="0"/>
        </c:dLbls>
        <c:gapWidth val="315"/>
        <c:overlap val="-40"/>
        <c:axId val="131596671"/>
        <c:axId val="131598111"/>
      </c:barChart>
      <c:catAx>
        <c:axId val="131596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598111"/>
        <c:crosses val="autoZero"/>
        <c:auto val="1"/>
        <c:lblAlgn val="ctr"/>
        <c:lblOffset val="100"/>
        <c:noMultiLvlLbl val="0"/>
      </c:catAx>
      <c:valAx>
        <c:axId val="131598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59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project.xlx.xlsx]Sheet3!PivotTable4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 COUNT OF ORDER ID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59-4D20-ABF0-DBFDC40DB7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59-4D20-ABF0-DBFDC40DB7F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59-4D20-ABF0-DBFDC40DB7F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59-4D20-ABF0-DBFDC40DB7F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459-4D20-ABF0-DBFDC40DB7F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459-4D20-ABF0-DBFDC40DB7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Sheet3!$A$4:$A$10</c:f>
              <c:strCache>
                <c:ptCount val="6"/>
                <c:pt idx="0">
                  <c:v>Email</c:v>
                </c:pt>
                <c:pt idx="1">
                  <c:v>Facebook</c:v>
                </c:pt>
                <c:pt idx="2">
                  <c:v>Google</c:v>
                </c:pt>
                <c:pt idx="3">
                  <c:v>Instagram</c:v>
                </c:pt>
                <c:pt idx="4">
                  <c:v>Referral</c:v>
                </c:pt>
                <c:pt idx="5">
                  <c:v>(blank)</c:v>
                </c:pt>
              </c:strCache>
            </c:strRef>
          </c:cat>
          <c:val>
            <c:numRef>
              <c:f>Sheet3!$B$4:$B$10</c:f>
              <c:numCache>
                <c:formatCode>General</c:formatCode>
                <c:ptCount val="6"/>
                <c:pt idx="0">
                  <c:v>250</c:v>
                </c:pt>
                <c:pt idx="1">
                  <c:v>228</c:v>
                </c:pt>
                <c:pt idx="2">
                  <c:v>241</c:v>
                </c:pt>
                <c:pt idx="3">
                  <c:v>259</c:v>
                </c:pt>
                <c:pt idx="4">
                  <c:v>222</c:v>
                </c:pt>
              </c:numCache>
            </c:numRef>
          </c:val>
          <c:extLst>
            <c:ext xmlns:c16="http://schemas.microsoft.com/office/drawing/2014/chart" uri="{C3380CC4-5D6E-409C-BE32-E72D297353CC}">
              <c16:uniqueId val="{0000000C-8459-4D20-ABF0-DBFDC40DB7F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project.xlx.xlsx]sheet4!PivotTable8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Chair</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sheet4!$B$5:$B$16</c:f>
              <c:numCache>
                <c:formatCode>General</c:formatCode>
                <c:ptCount val="11"/>
                <c:pt idx="0">
                  <c:v>1237.08</c:v>
                </c:pt>
                <c:pt idx="1">
                  <c:v>3929.7499999999995</c:v>
                </c:pt>
                <c:pt idx="2">
                  <c:v>2650.96</c:v>
                </c:pt>
                <c:pt idx="3">
                  <c:v>9083.15</c:v>
                </c:pt>
                <c:pt idx="4">
                  <c:v>11962.930000000002</c:v>
                </c:pt>
                <c:pt idx="5">
                  <c:v>14183.929999999998</c:v>
                </c:pt>
                <c:pt idx="6">
                  <c:v>6938.8399999999992</c:v>
                </c:pt>
                <c:pt idx="7">
                  <c:v>7947.1</c:v>
                </c:pt>
                <c:pt idx="8">
                  <c:v>2743.42</c:v>
                </c:pt>
                <c:pt idx="9">
                  <c:v>2630.37</c:v>
                </c:pt>
              </c:numCache>
            </c:numRef>
          </c:val>
          <c:smooth val="0"/>
          <c:extLst>
            <c:ext xmlns:c16="http://schemas.microsoft.com/office/drawing/2014/chart" uri="{C3380CC4-5D6E-409C-BE32-E72D297353CC}">
              <c16:uniqueId val="{00000001-211E-41A1-98B4-188A4AFD34BF}"/>
            </c:ext>
          </c:extLst>
        </c:ser>
        <c:ser>
          <c:idx val="1"/>
          <c:order val="1"/>
          <c:tx>
            <c:strRef>
              <c:f>sheet4!$C$3:$C$4</c:f>
              <c:strCache>
                <c:ptCount val="1"/>
                <c:pt idx="0">
                  <c:v>Desk</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sheet4!$C$5:$C$16</c:f>
              <c:numCache>
                <c:formatCode>General</c:formatCode>
                <c:ptCount val="11"/>
                <c:pt idx="0">
                  <c:v>1438.03</c:v>
                </c:pt>
                <c:pt idx="1">
                  <c:v>4576.8100000000004</c:v>
                </c:pt>
                <c:pt idx="2">
                  <c:v>6368.7500000000018</c:v>
                </c:pt>
                <c:pt idx="3">
                  <c:v>5589.35</c:v>
                </c:pt>
                <c:pt idx="4">
                  <c:v>9357.1</c:v>
                </c:pt>
                <c:pt idx="5">
                  <c:v>8948.1200000000008</c:v>
                </c:pt>
                <c:pt idx="6">
                  <c:v>8259.4</c:v>
                </c:pt>
                <c:pt idx="7">
                  <c:v>6146.1399999999994</c:v>
                </c:pt>
                <c:pt idx="8">
                  <c:v>2846.9199999999996</c:v>
                </c:pt>
                <c:pt idx="9">
                  <c:v>2502.7599999999998</c:v>
                </c:pt>
              </c:numCache>
            </c:numRef>
          </c:val>
          <c:smooth val="0"/>
          <c:extLst>
            <c:ext xmlns:c16="http://schemas.microsoft.com/office/drawing/2014/chart" uri="{C3380CC4-5D6E-409C-BE32-E72D297353CC}">
              <c16:uniqueId val="{00000011-211E-41A1-98B4-188A4AFD34BF}"/>
            </c:ext>
          </c:extLst>
        </c:ser>
        <c:ser>
          <c:idx val="2"/>
          <c:order val="2"/>
          <c:tx>
            <c:strRef>
              <c:f>sheet4!$D$3:$D$4</c:f>
              <c:strCache>
                <c:ptCount val="1"/>
                <c:pt idx="0">
                  <c:v>Laptop</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sheet4!$D$5:$D$16</c:f>
              <c:numCache>
                <c:formatCode>General</c:formatCode>
                <c:ptCount val="11"/>
                <c:pt idx="0">
                  <c:v>2240.0300000000002</c:v>
                </c:pt>
                <c:pt idx="1">
                  <c:v>4057.7599999999998</c:v>
                </c:pt>
                <c:pt idx="2">
                  <c:v>6971.8699999999981</c:v>
                </c:pt>
                <c:pt idx="3">
                  <c:v>8470.630000000001</c:v>
                </c:pt>
                <c:pt idx="4">
                  <c:v>10236.910000000002</c:v>
                </c:pt>
                <c:pt idx="5">
                  <c:v>11471.399999999998</c:v>
                </c:pt>
                <c:pt idx="6">
                  <c:v>7472.8399999999983</c:v>
                </c:pt>
                <c:pt idx="7">
                  <c:v>5814.1899999999987</c:v>
                </c:pt>
                <c:pt idx="8">
                  <c:v>3134.2699999999995</c:v>
                </c:pt>
                <c:pt idx="9">
                  <c:v>2013.4199999999998</c:v>
                </c:pt>
              </c:numCache>
            </c:numRef>
          </c:val>
          <c:smooth val="0"/>
          <c:extLst>
            <c:ext xmlns:c16="http://schemas.microsoft.com/office/drawing/2014/chart" uri="{C3380CC4-5D6E-409C-BE32-E72D297353CC}">
              <c16:uniqueId val="{00000012-211E-41A1-98B4-188A4AFD34BF}"/>
            </c:ext>
          </c:extLst>
        </c:ser>
        <c:ser>
          <c:idx val="3"/>
          <c:order val="3"/>
          <c:tx>
            <c:strRef>
              <c:f>sheet4!$E$3:$E$4</c:f>
              <c:strCache>
                <c:ptCount val="1"/>
                <c:pt idx="0">
                  <c:v>Monitor</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sheet4!$E$5:$E$16</c:f>
              <c:numCache>
                <c:formatCode>General</c:formatCode>
                <c:ptCount val="11"/>
                <c:pt idx="0">
                  <c:v>3156.89</c:v>
                </c:pt>
                <c:pt idx="1">
                  <c:v>3063.73</c:v>
                </c:pt>
                <c:pt idx="2">
                  <c:v>4656.58</c:v>
                </c:pt>
                <c:pt idx="3">
                  <c:v>10038.329999999998</c:v>
                </c:pt>
                <c:pt idx="4">
                  <c:v>9162.4800000000014</c:v>
                </c:pt>
                <c:pt idx="5">
                  <c:v>7010.5399999999991</c:v>
                </c:pt>
                <c:pt idx="6">
                  <c:v>9157.36</c:v>
                </c:pt>
                <c:pt idx="7">
                  <c:v>6327.7300000000005</c:v>
                </c:pt>
                <c:pt idx="8">
                  <c:v>2483.13</c:v>
                </c:pt>
                <c:pt idx="9">
                  <c:v>3405.4000000000005</c:v>
                </c:pt>
              </c:numCache>
            </c:numRef>
          </c:val>
          <c:smooth val="0"/>
          <c:extLst>
            <c:ext xmlns:c16="http://schemas.microsoft.com/office/drawing/2014/chart" uri="{C3380CC4-5D6E-409C-BE32-E72D297353CC}">
              <c16:uniqueId val="{00000013-211E-41A1-98B4-188A4AFD34BF}"/>
            </c:ext>
          </c:extLst>
        </c:ser>
        <c:ser>
          <c:idx val="4"/>
          <c:order val="4"/>
          <c:tx>
            <c:strRef>
              <c:f>sheet4!$F$3:$F$4</c:f>
              <c:strCache>
                <c:ptCount val="1"/>
                <c:pt idx="0">
                  <c:v>Phone</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sheet4!$F$5:$F$16</c:f>
              <c:numCache>
                <c:formatCode>General</c:formatCode>
                <c:ptCount val="11"/>
                <c:pt idx="0">
                  <c:v>4215.96</c:v>
                </c:pt>
                <c:pt idx="1">
                  <c:v>5625.75</c:v>
                </c:pt>
                <c:pt idx="2">
                  <c:v>6023.9199999999992</c:v>
                </c:pt>
                <c:pt idx="3">
                  <c:v>10277.85</c:v>
                </c:pt>
                <c:pt idx="4">
                  <c:v>9042.19</c:v>
                </c:pt>
                <c:pt idx="5">
                  <c:v>7856.6499999999987</c:v>
                </c:pt>
                <c:pt idx="6">
                  <c:v>3841.4500000000003</c:v>
                </c:pt>
                <c:pt idx="7">
                  <c:v>6058.59</c:v>
                </c:pt>
                <c:pt idx="8">
                  <c:v>4921.6699999999992</c:v>
                </c:pt>
                <c:pt idx="9">
                  <c:v>669.91000000000008</c:v>
                </c:pt>
              </c:numCache>
            </c:numRef>
          </c:val>
          <c:smooth val="0"/>
          <c:extLst>
            <c:ext xmlns:c16="http://schemas.microsoft.com/office/drawing/2014/chart" uri="{C3380CC4-5D6E-409C-BE32-E72D297353CC}">
              <c16:uniqueId val="{00000014-211E-41A1-98B4-188A4AFD34BF}"/>
            </c:ext>
          </c:extLst>
        </c:ser>
        <c:ser>
          <c:idx val="5"/>
          <c:order val="5"/>
          <c:tx>
            <c:strRef>
              <c:f>sheet4!$G$3:$G$4</c:f>
              <c:strCache>
                <c:ptCount val="1"/>
                <c:pt idx="0">
                  <c:v>Printer</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sheet4!$G$5:$G$16</c:f>
              <c:numCache>
                <c:formatCode>General</c:formatCode>
                <c:ptCount val="11"/>
                <c:pt idx="0">
                  <c:v>1749.8299999999997</c:v>
                </c:pt>
                <c:pt idx="1">
                  <c:v>2223.12</c:v>
                </c:pt>
                <c:pt idx="2">
                  <c:v>9345.94</c:v>
                </c:pt>
                <c:pt idx="3">
                  <c:v>5455.7999999999993</c:v>
                </c:pt>
                <c:pt idx="4">
                  <c:v>9002.510000000002</c:v>
                </c:pt>
                <c:pt idx="5">
                  <c:v>11254.09</c:v>
                </c:pt>
                <c:pt idx="6">
                  <c:v>8790.5400000000009</c:v>
                </c:pt>
                <c:pt idx="7">
                  <c:v>9170.02</c:v>
                </c:pt>
                <c:pt idx="8">
                  <c:v>4902.6899999999996</c:v>
                </c:pt>
                <c:pt idx="9">
                  <c:v>1765.8600000000001</c:v>
                </c:pt>
              </c:numCache>
            </c:numRef>
          </c:val>
          <c:smooth val="0"/>
          <c:extLst>
            <c:ext xmlns:c16="http://schemas.microsoft.com/office/drawing/2014/chart" uri="{C3380CC4-5D6E-409C-BE32-E72D297353CC}">
              <c16:uniqueId val="{00000015-211E-41A1-98B4-188A4AFD34BF}"/>
            </c:ext>
          </c:extLst>
        </c:ser>
        <c:ser>
          <c:idx val="6"/>
          <c:order val="6"/>
          <c:tx>
            <c:strRef>
              <c:f>sheet4!$H$3:$H$4</c:f>
              <c:strCache>
                <c:ptCount val="1"/>
                <c:pt idx="0">
                  <c:v>Tablet</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sheet4!$H$5:$H$16</c:f>
              <c:numCache>
                <c:formatCode>General</c:formatCode>
                <c:ptCount val="11"/>
                <c:pt idx="0">
                  <c:v>4396.1900000000005</c:v>
                </c:pt>
                <c:pt idx="1">
                  <c:v>3904.33</c:v>
                </c:pt>
                <c:pt idx="2">
                  <c:v>6560.9800000000005</c:v>
                </c:pt>
                <c:pt idx="3">
                  <c:v>6353.7500000000009</c:v>
                </c:pt>
                <c:pt idx="4">
                  <c:v>13015.539999999999</c:v>
                </c:pt>
                <c:pt idx="5">
                  <c:v>9295.7700000000023</c:v>
                </c:pt>
                <c:pt idx="6">
                  <c:v>6820.9000000000015</c:v>
                </c:pt>
                <c:pt idx="7">
                  <c:v>6896.0300000000007</c:v>
                </c:pt>
                <c:pt idx="8">
                  <c:v>5521.1799999999985</c:v>
                </c:pt>
                <c:pt idx="9">
                  <c:v>3049.89</c:v>
                </c:pt>
              </c:numCache>
            </c:numRef>
          </c:val>
          <c:smooth val="0"/>
          <c:extLst>
            <c:ext xmlns:c16="http://schemas.microsoft.com/office/drawing/2014/chart" uri="{C3380CC4-5D6E-409C-BE32-E72D297353CC}">
              <c16:uniqueId val="{00000016-211E-41A1-98B4-188A4AFD34BF}"/>
            </c:ext>
          </c:extLst>
        </c:ser>
        <c:ser>
          <c:idx val="7"/>
          <c:order val="7"/>
          <c:tx>
            <c:strRef>
              <c:f>sheet4!$I$3:$I$4</c:f>
              <c:strCache>
                <c:ptCount val="1"/>
                <c:pt idx="0">
                  <c:v>(blank)</c:v>
                </c:pt>
              </c:strCache>
            </c:strRef>
          </c:tx>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sheet4!$I$5:$I$16</c:f>
              <c:numCache>
                <c:formatCode>General</c:formatCode>
                <c:ptCount val="11"/>
              </c:numCache>
            </c:numRef>
          </c:val>
          <c:smooth val="0"/>
          <c:extLst>
            <c:ext xmlns:c16="http://schemas.microsoft.com/office/drawing/2014/chart" uri="{C3380CC4-5D6E-409C-BE32-E72D297353CC}">
              <c16:uniqueId val="{00000017-211E-41A1-98B4-188A4AFD34BF}"/>
            </c:ext>
          </c:extLst>
        </c:ser>
        <c:dLbls>
          <c:showLegendKey val="0"/>
          <c:showVal val="0"/>
          <c:showCatName val="0"/>
          <c:showSerName val="0"/>
          <c:showPercent val="0"/>
          <c:showBubbleSize val="0"/>
        </c:dLbls>
        <c:marker val="1"/>
        <c:smooth val="0"/>
        <c:axId val="1173831807"/>
        <c:axId val="1173832287"/>
      </c:lineChart>
      <c:catAx>
        <c:axId val="11738318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832287"/>
        <c:crosses val="autoZero"/>
        <c:auto val="1"/>
        <c:lblAlgn val="ctr"/>
        <c:lblOffset val="100"/>
        <c:noMultiLvlLbl val="0"/>
      </c:catAx>
      <c:valAx>
        <c:axId val="117383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83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project.xlx.xlsx]sheet5!PivotTable10</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ITEM CART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sheet5!$B$4:$B$12</c:f>
              <c:numCache>
                <c:formatCode>General</c:formatCode>
                <c:ptCount val="8"/>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2E4E-4166-AB90-74956F5B25DB}"/>
            </c:ext>
          </c:extLst>
        </c:ser>
        <c:ser>
          <c:idx val="1"/>
          <c:order val="1"/>
          <c:tx>
            <c:strRef>
              <c:f>sheet5!$C$3</c:f>
              <c:strCache>
                <c:ptCount val="1"/>
                <c:pt idx="0">
                  <c:v>Sum of ItemsInCart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sheet5!$C$4:$C$12</c:f>
              <c:numCache>
                <c:formatCode>General</c:formatCode>
                <c:ptCount val="8"/>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1-2E4E-4166-AB90-74956F5B25DB}"/>
            </c:ext>
          </c:extLst>
        </c:ser>
        <c:ser>
          <c:idx val="2"/>
          <c:order val="2"/>
          <c:tx>
            <c:strRef>
              <c:f>sheet5!$D$3</c:f>
              <c:strCache>
                <c:ptCount val="1"/>
                <c:pt idx="0">
                  <c:v>Count of OrderID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sheet5!$D$4:$D$12</c:f>
              <c:numCache>
                <c:formatCode>General</c:formatCode>
                <c:ptCount val="8"/>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2-2E4E-4166-AB90-74956F5B25DB}"/>
            </c:ext>
          </c:extLst>
        </c:ser>
        <c:dLbls>
          <c:dLblPos val="outEnd"/>
          <c:showLegendKey val="0"/>
          <c:showVal val="1"/>
          <c:showCatName val="0"/>
          <c:showSerName val="0"/>
          <c:showPercent val="0"/>
          <c:showBubbleSize val="0"/>
        </c:dLbls>
        <c:gapWidth val="115"/>
        <c:overlap val="-20"/>
        <c:axId val="345148415"/>
        <c:axId val="345147935"/>
      </c:barChart>
      <c:catAx>
        <c:axId val="345148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47935"/>
        <c:crosses val="autoZero"/>
        <c:auto val="1"/>
        <c:lblAlgn val="ctr"/>
        <c:lblOffset val="100"/>
        <c:noMultiLvlLbl val="0"/>
      </c:catAx>
      <c:valAx>
        <c:axId val="34514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4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project.xlx.xlsx]Sheet2!PivotTable2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UNIT PRICE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Sheet2!$A$4:$A$12</c:f>
              <c:strCache>
                <c:ptCount val="8"/>
                <c:pt idx="0">
                  <c:v>Chair</c:v>
                </c:pt>
                <c:pt idx="1">
                  <c:v>Desk</c:v>
                </c:pt>
                <c:pt idx="2">
                  <c:v>Laptop</c:v>
                </c:pt>
                <c:pt idx="3">
                  <c:v>Monitor</c:v>
                </c:pt>
                <c:pt idx="4">
                  <c:v>Phone</c:v>
                </c:pt>
                <c:pt idx="5">
                  <c:v>Printer</c:v>
                </c:pt>
                <c:pt idx="6">
                  <c:v>Tablet</c:v>
                </c:pt>
                <c:pt idx="7">
                  <c:v>(blank)</c:v>
                </c:pt>
              </c:strCache>
            </c:strRef>
          </c:cat>
          <c:val>
            <c:numRef>
              <c:f>Sheet2!$B$4:$B$12</c:f>
              <c:numCache>
                <c:formatCode>General</c:formatCode>
                <c:ptCount val="8"/>
                <c:pt idx="0">
                  <c:v>63307.529999999992</c:v>
                </c:pt>
                <c:pt idx="1">
                  <c:v>56033.379999999961</c:v>
                </c:pt>
                <c:pt idx="2">
                  <c:v>61883.319999999985</c:v>
                </c:pt>
                <c:pt idx="3">
                  <c:v>58462.17</c:v>
                </c:pt>
                <c:pt idx="4">
                  <c:v>58533.940000000017</c:v>
                </c:pt>
                <c:pt idx="5">
                  <c:v>63660.400000000045</c:v>
                </c:pt>
                <c:pt idx="6">
                  <c:v>65814.559999999969</c:v>
                </c:pt>
              </c:numCache>
            </c:numRef>
          </c:val>
          <c:extLst>
            <c:ext xmlns:c16="http://schemas.microsoft.com/office/drawing/2014/chart" uri="{C3380CC4-5D6E-409C-BE32-E72D297353CC}">
              <c16:uniqueId val="{00000001-C479-4C52-9046-267D85253344}"/>
            </c:ext>
          </c:extLst>
        </c:ser>
        <c:dLbls>
          <c:dLblPos val="inEnd"/>
          <c:showLegendKey val="0"/>
          <c:showVal val="1"/>
          <c:showCatName val="0"/>
          <c:showSerName val="0"/>
          <c:showPercent val="0"/>
          <c:showBubbleSize val="0"/>
        </c:dLbls>
        <c:gapWidth val="315"/>
        <c:overlap val="-40"/>
        <c:axId val="131596671"/>
        <c:axId val="131598111"/>
      </c:barChart>
      <c:catAx>
        <c:axId val="131596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598111"/>
        <c:crosses val="autoZero"/>
        <c:auto val="1"/>
        <c:lblAlgn val="ctr"/>
        <c:lblOffset val="100"/>
        <c:noMultiLvlLbl val="0"/>
      </c:catAx>
      <c:valAx>
        <c:axId val="131598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59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project.xlx.xlsx]Sheet3!PivotTable4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 COUNT OF ORDER ID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59-4D20-ABF0-DBFDC40DB7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59-4D20-ABF0-DBFDC40DB7F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59-4D20-ABF0-DBFDC40DB7F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59-4D20-ABF0-DBFDC40DB7F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459-4D20-ABF0-DBFDC40DB7F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459-4D20-ABF0-DBFDC40DB7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Sheet3!$A$4:$A$10</c:f>
              <c:strCache>
                <c:ptCount val="6"/>
                <c:pt idx="0">
                  <c:v>Email</c:v>
                </c:pt>
                <c:pt idx="1">
                  <c:v>Facebook</c:v>
                </c:pt>
                <c:pt idx="2">
                  <c:v>Google</c:v>
                </c:pt>
                <c:pt idx="3">
                  <c:v>Instagram</c:v>
                </c:pt>
                <c:pt idx="4">
                  <c:v>Referral</c:v>
                </c:pt>
                <c:pt idx="5">
                  <c:v>(blank)</c:v>
                </c:pt>
              </c:strCache>
            </c:strRef>
          </c:cat>
          <c:val>
            <c:numRef>
              <c:f>Sheet3!$B$4:$B$10</c:f>
              <c:numCache>
                <c:formatCode>General</c:formatCode>
                <c:ptCount val="6"/>
                <c:pt idx="0">
                  <c:v>250</c:v>
                </c:pt>
                <c:pt idx="1">
                  <c:v>228</c:v>
                </c:pt>
                <c:pt idx="2">
                  <c:v>241</c:v>
                </c:pt>
                <c:pt idx="3">
                  <c:v>259</c:v>
                </c:pt>
                <c:pt idx="4">
                  <c:v>222</c:v>
                </c:pt>
              </c:numCache>
            </c:numRef>
          </c:val>
          <c:extLst>
            <c:ext xmlns:c16="http://schemas.microsoft.com/office/drawing/2014/chart" uri="{C3380CC4-5D6E-409C-BE32-E72D297353CC}">
              <c16:uniqueId val="{0000000C-8459-4D20-ABF0-DBFDC40DB7F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project.xlx.xlsx]sheet4!PivotTable8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Chair</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sheet4!$B$5:$B$16</c:f>
              <c:numCache>
                <c:formatCode>General</c:formatCode>
                <c:ptCount val="11"/>
                <c:pt idx="0">
                  <c:v>1237.08</c:v>
                </c:pt>
                <c:pt idx="1">
                  <c:v>3929.7499999999995</c:v>
                </c:pt>
                <c:pt idx="2">
                  <c:v>2650.96</c:v>
                </c:pt>
                <c:pt idx="3">
                  <c:v>9083.15</c:v>
                </c:pt>
                <c:pt idx="4">
                  <c:v>11962.930000000002</c:v>
                </c:pt>
                <c:pt idx="5">
                  <c:v>14183.929999999998</c:v>
                </c:pt>
                <c:pt idx="6">
                  <c:v>6938.8399999999992</c:v>
                </c:pt>
                <c:pt idx="7">
                  <c:v>7947.1</c:v>
                </c:pt>
                <c:pt idx="8">
                  <c:v>2743.42</c:v>
                </c:pt>
                <c:pt idx="9">
                  <c:v>2630.37</c:v>
                </c:pt>
              </c:numCache>
            </c:numRef>
          </c:val>
          <c:smooth val="0"/>
          <c:extLst>
            <c:ext xmlns:c16="http://schemas.microsoft.com/office/drawing/2014/chart" uri="{C3380CC4-5D6E-409C-BE32-E72D297353CC}">
              <c16:uniqueId val="{00000001-211E-41A1-98B4-188A4AFD34BF}"/>
            </c:ext>
          </c:extLst>
        </c:ser>
        <c:ser>
          <c:idx val="1"/>
          <c:order val="1"/>
          <c:tx>
            <c:strRef>
              <c:f>sheet4!$C$3:$C$4</c:f>
              <c:strCache>
                <c:ptCount val="1"/>
                <c:pt idx="0">
                  <c:v>Desk</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sheet4!$C$5:$C$16</c:f>
              <c:numCache>
                <c:formatCode>General</c:formatCode>
                <c:ptCount val="11"/>
                <c:pt idx="0">
                  <c:v>1438.03</c:v>
                </c:pt>
                <c:pt idx="1">
                  <c:v>4576.8100000000004</c:v>
                </c:pt>
                <c:pt idx="2">
                  <c:v>6368.7500000000018</c:v>
                </c:pt>
                <c:pt idx="3">
                  <c:v>5589.35</c:v>
                </c:pt>
                <c:pt idx="4">
                  <c:v>9357.1</c:v>
                </c:pt>
                <c:pt idx="5">
                  <c:v>8948.1200000000008</c:v>
                </c:pt>
                <c:pt idx="6">
                  <c:v>8259.4</c:v>
                </c:pt>
                <c:pt idx="7">
                  <c:v>6146.1399999999994</c:v>
                </c:pt>
                <c:pt idx="8">
                  <c:v>2846.9199999999996</c:v>
                </c:pt>
                <c:pt idx="9">
                  <c:v>2502.7599999999998</c:v>
                </c:pt>
              </c:numCache>
            </c:numRef>
          </c:val>
          <c:smooth val="0"/>
          <c:extLst>
            <c:ext xmlns:c16="http://schemas.microsoft.com/office/drawing/2014/chart" uri="{C3380CC4-5D6E-409C-BE32-E72D297353CC}">
              <c16:uniqueId val="{00000001-E6B9-46F5-AE12-01EDF0C30108}"/>
            </c:ext>
          </c:extLst>
        </c:ser>
        <c:ser>
          <c:idx val="2"/>
          <c:order val="2"/>
          <c:tx>
            <c:strRef>
              <c:f>sheet4!$D$3:$D$4</c:f>
              <c:strCache>
                <c:ptCount val="1"/>
                <c:pt idx="0">
                  <c:v>Laptop</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sheet4!$D$5:$D$16</c:f>
              <c:numCache>
                <c:formatCode>General</c:formatCode>
                <c:ptCount val="11"/>
                <c:pt idx="0">
                  <c:v>2240.0300000000002</c:v>
                </c:pt>
                <c:pt idx="1">
                  <c:v>4057.7599999999998</c:v>
                </c:pt>
                <c:pt idx="2">
                  <c:v>6971.8699999999981</c:v>
                </c:pt>
                <c:pt idx="3">
                  <c:v>8470.630000000001</c:v>
                </c:pt>
                <c:pt idx="4">
                  <c:v>10236.910000000002</c:v>
                </c:pt>
                <c:pt idx="5">
                  <c:v>11471.399999999998</c:v>
                </c:pt>
                <c:pt idx="6">
                  <c:v>7472.8399999999983</c:v>
                </c:pt>
                <c:pt idx="7">
                  <c:v>5814.1899999999987</c:v>
                </c:pt>
                <c:pt idx="8">
                  <c:v>3134.2699999999995</c:v>
                </c:pt>
                <c:pt idx="9">
                  <c:v>2013.4199999999998</c:v>
                </c:pt>
              </c:numCache>
            </c:numRef>
          </c:val>
          <c:smooth val="0"/>
          <c:extLst>
            <c:ext xmlns:c16="http://schemas.microsoft.com/office/drawing/2014/chart" uri="{C3380CC4-5D6E-409C-BE32-E72D297353CC}">
              <c16:uniqueId val="{00000002-E6B9-46F5-AE12-01EDF0C30108}"/>
            </c:ext>
          </c:extLst>
        </c:ser>
        <c:ser>
          <c:idx val="3"/>
          <c:order val="3"/>
          <c:tx>
            <c:strRef>
              <c:f>sheet4!$E$3:$E$4</c:f>
              <c:strCache>
                <c:ptCount val="1"/>
                <c:pt idx="0">
                  <c:v>Monitor</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sheet4!$E$5:$E$16</c:f>
              <c:numCache>
                <c:formatCode>General</c:formatCode>
                <c:ptCount val="11"/>
                <c:pt idx="0">
                  <c:v>3156.89</c:v>
                </c:pt>
                <c:pt idx="1">
                  <c:v>3063.73</c:v>
                </c:pt>
                <c:pt idx="2">
                  <c:v>4656.58</c:v>
                </c:pt>
                <c:pt idx="3">
                  <c:v>10038.329999999998</c:v>
                </c:pt>
                <c:pt idx="4">
                  <c:v>9162.4800000000014</c:v>
                </c:pt>
                <c:pt idx="5">
                  <c:v>7010.5399999999991</c:v>
                </c:pt>
                <c:pt idx="6">
                  <c:v>9157.36</c:v>
                </c:pt>
                <c:pt idx="7">
                  <c:v>6327.7300000000005</c:v>
                </c:pt>
                <c:pt idx="8">
                  <c:v>2483.13</c:v>
                </c:pt>
                <c:pt idx="9">
                  <c:v>3405.4000000000005</c:v>
                </c:pt>
              </c:numCache>
            </c:numRef>
          </c:val>
          <c:smooth val="0"/>
          <c:extLst>
            <c:ext xmlns:c16="http://schemas.microsoft.com/office/drawing/2014/chart" uri="{C3380CC4-5D6E-409C-BE32-E72D297353CC}">
              <c16:uniqueId val="{00000003-E6B9-46F5-AE12-01EDF0C30108}"/>
            </c:ext>
          </c:extLst>
        </c:ser>
        <c:ser>
          <c:idx val="4"/>
          <c:order val="4"/>
          <c:tx>
            <c:strRef>
              <c:f>sheet4!$F$3:$F$4</c:f>
              <c:strCache>
                <c:ptCount val="1"/>
                <c:pt idx="0">
                  <c:v>Phone</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sheet4!$F$5:$F$16</c:f>
              <c:numCache>
                <c:formatCode>General</c:formatCode>
                <c:ptCount val="11"/>
                <c:pt idx="0">
                  <c:v>4215.96</c:v>
                </c:pt>
                <c:pt idx="1">
                  <c:v>5625.75</c:v>
                </c:pt>
                <c:pt idx="2">
                  <c:v>6023.9199999999992</c:v>
                </c:pt>
                <c:pt idx="3">
                  <c:v>10277.85</c:v>
                </c:pt>
                <c:pt idx="4">
                  <c:v>9042.19</c:v>
                </c:pt>
                <c:pt idx="5">
                  <c:v>7856.6499999999987</c:v>
                </c:pt>
                <c:pt idx="6">
                  <c:v>3841.4500000000003</c:v>
                </c:pt>
                <c:pt idx="7">
                  <c:v>6058.59</c:v>
                </c:pt>
                <c:pt idx="8">
                  <c:v>4921.6699999999992</c:v>
                </c:pt>
                <c:pt idx="9">
                  <c:v>669.91000000000008</c:v>
                </c:pt>
              </c:numCache>
            </c:numRef>
          </c:val>
          <c:smooth val="0"/>
          <c:extLst>
            <c:ext xmlns:c16="http://schemas.microsoft.com/office/drawing/2014/chart" uri="{C3380CC4-5D6E-409C-BE32-E72D297353CC}">
              <c16:uniqueId val="{00000004-E6B9-46F5-AE12-01EDF0C30108}"/>
            </c:ext>
          </c:extLst>
        </c:ser>
        <c:ser>
          <c:idx val="5"/>
          <c:order val="5"/>
          <c:tx>
            <c:strRef>
              <c:f>sheet4!$G$3:$G$4</c:f>
              <c:strCache>
                <c:ptCount val="1"/>
                <c:pt idx="0">
                  <c:v>Printer</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sheet4!$G$5:$G$16</c:f>
              <c:numCache>
                <c:formatCode>General</c:formatCode>
                <c:ptCount val="11"/>
                <c:pt idx="0">
                  <c:v>1749.8299999999997</c:v>
                </c:pt>
                <c:pt idx="1">
                  <c:v>2223.12</c:v>
                </c:pt>
                <c:pt idx="2">
                  <c:v>9345.94</c:v>
                </c:pt>
                <c:pt idx="3">
                  <c:v>5455.7999999999993</c:v>
                </c:pt>
                <c:pt idx="4">
                  <c:v>9002.510000000002</c:v>
                </c:pt>
                <c:pt idx="5">
                  <c:v>11254.09</c:v>
                </c:pt>
                <c:pt idx="6">
                  <c:v>8790.5400000000009</c:v>
                </c:pt>
                <c:pt idx="7">
                  <c:v>9170.02</c:v>
                </c:pt>
                <c:pt idx="8">
                  <c:v>4902.6899999999996</c:v>
                </c:pt>
                <c:pt idx="9">
                  <c:v>1765.8600000000001</c:v>
                </c:pt>
              </c:numCache>
            </c:numRef>
          </c:val>
          <c:smooth val="0"/>
          <c:extLst>
            <c:ext xmlns:c16="http://schemas.microsoft.com/office/drawing/2014/chart" uri="{C3380CC4-5D6E-409C-BE32-E72D297353CC}">
              <c16:uniqueId val="{00000005-E6B9-46F5-AE12-01EDF0C30108}"/>
            </c:ext>
          </c:extLst>
        </c:ser>
        <c:ser>
          <c:idx val="6"/>
          <c:order val="6"/>
          <c:tx>
            <c:strRef>
              <c:f>sheet4!$H$3:$H$4</c:f>
              <c:strCache>
                <c:ptCount val="1"/>
                <c:pt idx="0">
                  <c:v>Tablet</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sheet4!$H$5:$H$16</c:f>
              <c:numCache>
                <c:formatCode>General</c:formatCode>
                <c:ptCount val="11"/>
                <c:pt idx="0">
                  <c:v>4396.1900000000005</c:v>
                </c:pt>
                <c:pt idx="1">
                  <c:v>3904.33</c:v>
                </c:pt>
                <c:pt idx="2">
                  <c:v>6560.9800000000005</c:v>
                </c:pt>
                <c:pt idx="3">
                  <c:v>6353.7500000000009</c:v>
                </c:pt>
                <c:pt idx="4">
                  <c:v>13015.539999999999</c:v>
                </c:pt>
                <c:pt idx="5">
                  <c:v>9295.7700000000023</c:v>
                </c:pt>
                <c:pt idx="6">
                  <c:v>6820.9000000000015</c:v>
                </c:pt>
                <c:pt idx="7">
                  <c:v>6896.0300000000007</c:v>
                </c:pt>
                <c:pt idx="8">
                  <c:v>5521.1799999999985</c:v>
                </c:pt>
                <c:pt idx="9">
                  <c:v>3049.89</c:v>
                </c:pt>
              </c:numCache>
            </c:numRef>
          </c:val>
          <c:smooth val="0"/>
          <c:extLst>
            <c:ext xmlns:c16="http://schemas.microsoft.com/office/drawing/2014/chart" uri="{C3380CC4-5D6E-409C-BE32-E72D297353CC}">
              <c16:uniqueId val="{00000006-E6B9-46F5-AE12-01EDF0C30108}"/>
            </c:ext>
          </c:extLst>
        </c:ser>
        <c:ser>
          <c:idx val="7"/>
          <c:order val="7"/>
          <c:tx>
            <c:strRef>
              <c:f>sheet4!$I$3:$I$4</c:f>
              <c:strCache>
                <c:ptCount val="1"/>
                <c:pt idx="0">
                  <c:v>(blank)</c:v>
                </c:pt>
              </c:strCache>
            </c:strRef>
          </c:tx>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sheet4!$A$5:$A$16</c:f>
              <c:strCache>
                <c:ptCount val="11"/>
                <c:pt idx="0">
                  <c:v>1</c:v>
                </c:pt>
                <c:pt idx="1">
                  <c:v>2</c:v>
                </c:pt>
                <c:pt idx="2">
                  <c:v>3</c:v>
                </c:pt>
                <c:pt idx="3">
                  <c:v>4</c:v>
                </c:pt>
                <c:pt idx="4">
                  <c:v>5</c:v>
                </c:pt>
                <c:pt idx="5">
                  <c:v>6</c:v>
                </c:pt>
                <c:pt idx="6">
                  <c:v>7</c:v>
                </c:pt>
                <c:pt idx="7">
                  <c:v>8</c:v>
                </c:pt>
                <c:pt idx="8">
                  <c:v>9</c:v>
                </c:pt>
                <c:pt idx="9">
                  <c:v>10</c:v>
                </c:pt>
                <c:pt idx="10">
                  <c:v>(blank)</c:v>
                </c:pt>
              </c:strCache>
            </c:strRef>
          </c:cat>
          <c:val>
            <c:numRef>
              <c:f>sheet4!$I$5:$I$16</c:f>
              <c:numCache>
                <c:formatCode>General</c:formatCode>
                <c:ptCount val="11"/>
              </c:numCache>
            </c:numRef>
          </c:val>
          <c:smooth val="0"/>
          <c:extLst>
            <c:ext xmlns:c16="http://schemas.microsoft.com/office/drawing/2014/chart" uri="{C3380CC4-5D6E-409C-BE32-E72D297353CC}">
              <c16:uniqueId val="{00000007-E6B9-46F5-AE12-01EDF0C30108}"/>
            </c:ext>
          </c:extLst>
        </c:ser>
        <c:dLbls>
          <c:showLegendKey val="0"/>
          <c:showVal val="0"/>
          <c:showCatName val="0"/>
          <c:showSerName val="0"/>
          <c:showPercent val="0"/>
          <c:showBubbleSize val="0"/>
        </c:dLbls>
        <c:marker val="1"/>
        <c:smooth val="0"/>
        <c:axId val="1173831807"/>
        <c:axId val="1173832287"/>
      </c:lineChart>
      <c:catAx>
        <c:axId val="11738318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832287"/>
        <c:crosses val="autoZero"/>
        <c:auto val="1"/>
        <c:lblAlgn val="ctr"/>
        <c:lblOffset val="100"/>
        <c:noMultiLvlLbl val="0"/>
      </c:catAx>
      <c:valAx>
        <c:axId val="117383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83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project.xlx.xlsx]sheet5!PivotTable10</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ITEM CART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sheet5!$B$4:$B$12</c:f>
              <c:numCache>
                <c:formatCode>General</c:formatCode>
                <c:ptCount val="8"/>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2E4E-4166-AB90-74956F5B25DB}"/>
            </c:ext>
          </c:extLst>
        </c:ser>
        <c:ser>
          <c:idx val="1"/>
          <c:order val="1"/>
          <c:tx>
            <c:strRef>
              <c:f>sheet5!$C$3</c:f>
              <c:strCache>
                <c:ptCount val="1"/>
                <c:pt idx="0">
                  <c:v>Sum of ItemsInCart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sheet5!$C$4:$C$12</c:f>
              <c:numCache>
                <c:formatCode>General</c:formatCode>
                <c:ptCount val="8"/>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1-2E4E-4166-AB90-74956F5B25DB}"/>
            </c:ext>
          </c:extLst>
        </c:ser>
        <c:ser>
          <c:idx val="2"/>
          <c:order val="2"/>
          <c:tx>
            <c:strRef>
              <c:f>sheet5!$D$3</c:f>
              <c:strCache>
                <c:ptCount val="1"/>
                <c:pt idx="0">
                  <c:v>Count of OrderID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Chair</c:v>
                </c:pt>
                <c:pt idx="1">
                  <c:v>Desk</c:v>
                </c:pt>
                <c:pt idx="2">
                  <c:v>Laptop</c:v>
                </c:pt>
                <c:pt idx="3">
                  <c:v>Monitor</c:v>
                </c:pt>
                <c:pt idx="4">
                  <c:v>Phone</c:v>
                </c:pt>
                <c:pt idx="5">
                  <c:v>Printer</c:v>
                </c:pt>
                <c:pt idx="6">
                  <c:v>Tablet</c:v>
                </c:pt>
                <c:pt idx="7">
                  <c:v>(blank)</c:v>
                </c:pt>
              </c:strCache>
            </c:strRef>
          </c:cat>
          <c:val>
            <c:numRef>
              <c:f>sheet5!$D$4:$D$12</c:f>
              <c:numCache>
                <c:formatCode>General</c:formatCode>
                <c:ptCount val="8"/>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2-2E4E-4166-AB90-74956F5B25DB}"/>
            </c:ext>
          </c:extLst>
        </c:ser>
        <c:dLbls>
          <c:dLblPos val="outEnd"/>
          <c:showLegendKey val="0"/>
          <c:showVal val="1"/>
          <c:showCatName val="0"/>
          <c:showSerName val="0"/>
          <c:showPercent val="0"/>
          <c:showBubbleSize val="0"/>
        </c:dLbls>
        <c:gapWidth val="115"/>
        <c:overlap val="-20"/>
        <c:axId val="345148415"/>
        <c:axId val="345147935"/>
      </c:barChart>
      <c:catAx>
        <c:axId val="345148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47935"/>
        <c:crosses val="autoZero"/>
        <c:auto val="1"/>
        <c:lblAlgn val="ctr"/>
        <c:lblOffset val="100"/>
        <c:noMultiLvlLbl val="0"/>
      </c:catAx>
      <c:valAx>
        <c:axId val="34514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4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476250</xdr:colOff>
      <xdr:row>1</xdr:row>
      <xdr:rowOff>95251</xdr:rowOff>
    </xdr:from>
    <xdr:to>
      <xdr:col>5</xdr:col>
      <xdr:colOff>476250</xdr:colOff>
      <xdr:row>12</xdr:row>
      <xdr:rowOff>1</xdr:rowOff>
    </xdr:to>
    <mc:AlternateContent xmlns:mc="http://schemas.openxmlformats.org/markup-compatibility/2006" xmlns:a14="http://schemas.microsoft.com/office/drawing/2010/main">
      <mc:Choice Requires="a14">
        <xdr:graphicFrame macro="">
          <xdr:nvGraphicFramePr>
            <xdr:cNvPr id="2" name="UnitPrice">
              <a:extLst>
                <a:ext uri="{FF2B5EF4-FFF2-40B4-BE49-F238E27FC236}">
                  <a16:creationId xmlns:a16="http://schemas.microsoft.com/office/drawing/2014/main" id="{D2A71B09-057B-BD7B-3720-A0E03DC9A5D2}"/>
                </a:ext>
              </a:extLst>
            </xdr:cNvPr>
            <xdr:cNvGraphicFramePr/>
          </xdr:nvGraphicFramePr>
          <xdr:xfrm>
            <a:off x="0" y="0"/>
            <a:ext cx="0" cy="0"/>
          </xdr:xfrm>
          <a:graphic>
            <a:graphicData uri="http://schemas.microsoft.com/office/drawing/2010/slicer">
              <sle:slicer xmlns:sle="http://schemas.microsoft.com/office/drawing/2010/slicer" name="UnitPrice"/>
            </a:graphicData>
          </a:graphic>
        </xdr:graphicFrame>
      </mc:Choice>
      <mc:Fallback xmlns="">
        <xdr:sp macro="" textlink="">
          <xdr:nvSpPr>
            <xdr:cNvPr id="0" name=""/>
            <xdr:cNvSpPr>
              <a:spLocks noTextEdit="1"/>
            </xdr:cNvSpPr>
          </xdr:nvSpPr>
          <xdr:spPr>
            <a:xfrm>
              <a:off x="2419350" y="285751"/>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xdr:colOff>
      <xdr:row>1</xdr:row>
      <xdr:rowOff>76200</xdr:rowOff>
    </xdr:from>
    <xdr:to>
      <xdr:col>13</xdr:col>
      <xdr:colOff>361950</xdr:colOff>
      <xdr:row>12</xdr:row>
      <xdr:rowOff>76200</xdr:rowOff>
    </xdr:to>
    <xdr:graphicFrame macro="">
      <xdr:nvGraphicFramePr>
        <xdr:cNvPr id="3" name="Chart 2">
          <a:extLst>
            <a:ext uri="{FF2B5EF4-FFF2-40B4-BE49-F238E27FC236}">
              <a16:creationId xmlns:a16="http://schemas.microsoft.com/office/drawing/2014/main" id="{5FD86A31-E642-DEFC-0EE3-7C7B95C58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415738</xdr:colOff>
      <xdr:row>1</xdr:row>
      <xdr:rowOff>178174</xdr:rowOff>
    </xdr:from>
    <xdr:to>
      <xdr:col>5</xdr:col>
      <xdr:colOff>415737</xdr:colOff>
      <xdr:row>10</xdr:row>
      <xdr:rowOff>44824</xdr:rowOff>
    </xdr:to>
    <mc:AlternateContent xmlns:mc="http://schemas.openxmlformats.org/markup-compatibility/2006" xmlns:a14="http://schemas.microsoft.com/office/drawing/2010/main">
      <mc:Choice Requires="a14">
        <xdr:graphicFrame macro="">
          <xdr:nvGraphicFramePr>
            <xdr:cNvPr id="2" name="OrderID">
              <a:extLst>
                <a:ext uri="{FF2B5EF4-FFF2-40B4-BE49-F238E27FC236}">
                  <a16:creationId xmlns:a16="http://schemas.microsoft.com/office/drawing/2014/main" id="{D077BB18-203C-BA38-28C7-0FC050A75A74}"/>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2376767" y="368674"/>
              <a:ext cx="1815352"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380999</xdr:colOff>
      <xdr:row>1</xdr:row>
      <xdr:rowOff>34373</xdr:rowOff>
    </xdr:from>
    <xdr:to>
      <xdr:col>12</xdr:col>
      <xdr:colOff>76200</xdr:colOff>
      <xdr:row>13</xdr:row>
      <xdr:rowOff>62948</xdr:rowOff>
    </xdr:to>
    <xdr:graphicFrame macro="">
      <xdr:nvGraphicFramePr>
        <xdr:cNvPr id="3" name="Chart 2">
          <a:extLst>
            <a:ext uri="{FF2B5EF4-FFF2-40B4-BE49-F238E27FC236}">
              <a16:creationId xmlns:a16="http://schemas.microsoft.com/office/drawing/2014/main" id="{89CE211D-1ABC-1E26-49F7-C665C23A3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95250</xdr:colOff>
      <xdr:row>2</xdr:row>
      <xdr:rowOff>171450</xdr:rowOff>
    </xdr:from>
    <xdr:to>
      <xdr:col>13</xdr:col>
      <xdr:colOff>95250</xdr:colOff>
      <xdr:row>16</xdr:row>
      <xdr:rowOff>28575</xdr:rowOff>
    </xdr:to>
    <mc:AlternateContent xmlns:mc="http://schemas.openxmlformats.org/markup-compatibility/2006" xmlns:a14="http://schemas.microsoft.com/office/drawing/2010/main">
      <mc:Choice Requires="a14">
        <xdr:graphicFrame macro="">
          <xdr:nvGraphicFramePr>
            <xdr:cNvPr id="3" name="UnitPrice 1">
              <a:extLst>
                <a:ext uri="{FF2B5EF4-FFF2-40B4-BE49-F238E27FC236}">
                  <a16:creationId xmlns:a16="http://schemas.microsoft.com/office/drawing/2014/main" id="{6BEBB319-F8EC-2BAA-C8C8-086D4835EE61}"/>
                </a:ext>
              </a:extLst>
            </xdr:cNvPr>
            <xdr:cNvGraphicFramePr/>
          </xdr:nvGraphicFramePr>
          <xdr:xfrm>
            <a:off x="0" y="0"/>
            <a:ext cx="0" cy="0"/>
          </xdr:xfrm>
          <a:graphic>
            <a:graphicData uri="http://schemas.microsoft.com/office/drawing/2010/slicer">
              <sle:slicer xmlns:sle="http://schemas.microsoft.com/office/drawing/2010/slicer" name="UnitPrice 1"/>
            </a:graphicData>
          </a:graphic>
        </xdr:graphicFrame>
      </mc:Choice>
      <mc:Fallback xmlns="">
        <xdr:sp macro="" textlink="">
          <xdr:nvSpPr>
            <xdr:cNvPr id="0" name=""/>
            <xdr:cNvSpPr>
              <a:spLocks noTextEdit="1"/>
            </xdr:cNvSpPr>
          </xdr:nvSpPr>
          <xdr:spPr>
            <a:xfrm>
              <a:off x="7086600"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276225</xdr:colOff>
      <xdr:row>2</xdr:row>
      <xdr:rowOff>133350</xdr:rowOff>
    </xdr:from>
    <xdr:to>
      <xdr:col>20</xdr:col>
      <xdr:colOff>581025</xdr:colOff>
      <xdr:row>17</xdr:row>
      <xdr:rowOff>19050</xdr:rowOff>
    </xdr:to>
    <xdr:graphicFrame macro="">
      <xdr:nvGraphicFramePr>
        <xdr:cNvPr id="5" name="Chart 4">
          <a:extLst>
            <a:ext uri="{FF2B5EF4-FFF2-40B4-BE49-F238E27FC236}">
              <a16:creationId xmlns:a16="http://schemas.microsoft.com/office/drawing/2014/main" id="{80D116F1-1AD6-797D-DF7A-D58A46E1E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238125</xdr:colOff>
      <xdr:row>2</xdr:row>
      <xdr:rowOff>9526</xdr:rowOff>
    </xdr:from>
    <xdr:to>
      <xdr:col>7</xdr:col>
      <xdr:colOff>238125</xdr:colOff>
      <xdr:row>11</xdr:row>
      <xdr:rowOff>0</xdr:rowOff>
    </xdr:to>
    <mc:AlternateContent xmlns:mc="http://schemas.openxmlformats.org/markup-compatibility/2006" xmlns:a14="http://schemas.microsoft.com/office/drawing/2010/main">
      <mc:Choice Requires="a14">
        <xdr:graphicFrame macro="">
          <xdr:nvGraphicFramePr>
            <xdr:cNvPr id="3" name="ItemsInCart">
              <a:extLst>
                <a:ext uri="{FF2B5EF4-FFF2-40B4-BE49-F238E27FC236}">
                  <a16:creationId xmlns:a16="http://schemas.microsoft.com/office/drawing/2014/main" id="{58138EC8-61F7-48CF-64FC-E3B1BB3729EE}"/>
                </a:ext>
              </a:extLst>
            </xdr:cNvPr>
            <xdr:cNvGraphicFramePr/>
          </xdr:nvGraphicFramePr>
          <xdr:xfrm>
            <a:off x="0" y="0"/>
            <a:ext cx="0" cy="0"/>
          </xdr:xfrm>
          <a:graphic>
            <a:graphicData uri="http://schemas.microsoft.com/office/drawing/2010/slicer">
              <sle:slicer xmlns:sle="http://schemas.microsoft.com/office/drawing/2010/slicer" name="ItemsInCart"/>
            </a:graphicData>
          </a:graphic>
        </xdr:graphicFrame>
      </mc:Choice>
      <mc:Fallback xmlns="">
        <xdr:sp macro="" textlink="">
          <xdr:nvSpPr>
            <xdr:cNvPr id="0" name=""/>
            <xdr:cNvSpPr>
              <a:spLocks noTextEdit="1"/>
            </xdr:cNvSpPr>
          </xdr:nvSpPr>
          <xdr:spPr>
            <a:xfrm>
              <a:off x="4429125" y="390526"/>
              <a:ext cx="1828800" cy="1704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342900</xdr:colOff>
      <xdr:row>1</xdr:row>
      <xdr:rowOff>28575</xdr:rowOff>
    </xdr:from>
    <xdr:to>
      <xdr:col>15</xdr:col>
      <xdr:colOff>38100</xdr:colOff>
      <xdr:row>15</xdr:row>
      <xdr:rowOff>104775</xdr:rowOff>
    </xdr:to>
    <xdr:graphicFrame macro="">
      <xdr:nvGraphicFramePr>
        <xdr:cNvPr id="4" name="Chart 3">
          <a:extLst>
            <a:ext uri="{FF2B5EF4-FFF2-40B4-BE49-F238E27FC236}">
              <a16:creationId xmlns:a16="http://schemas.microsoft.com/office/drawing/2014/main" id="{DD20F176-1636-EC77-CC3F-3EE46BB76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37334</xdr:rowOff>
    </xdr:from>
    <xdr:to>
      <xdr:col>23</xdr:col>
      <xdr:colOff>602156</xdr:colOff>
      <xdr:row>3</xdr:row>
      <xdr:rowOff>147253</xdr:rowOff>
    </xdr:to>
    <xdr:sp macro="" textlink="">
      <xdr:nvSpPr>
        <xdr:cNvPr id="2" name="Rectangle: Rounded Corners 1">
          <a:extLst>
            <a:ext uri="{FF2B5EF4-FFF2-40B4-BE49-F238E27FC236}">
              <a16:creationId xmlns:a16="http://schemas.microsoft.com/office/drawing/2014/main" id="{A48758EF-CBEE-D855-9A2C-06554A6CB4A4}"/>
            </a:ext>
          </a:extLst>
        </xdr:cNvPr>
        <xdr:cNvSpPr/>
      </xdr:nvSpPr>
      <xdr:spPr>
        <a:xfrm>
          <a:off x="1" y="37334"/>
          <a:ext cx="14703534" cy="668281"/>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                                                                                                                                                                    </a:t>
          </a:r>
          <a:r>
            <a:rPr lang="en-IN" sz="3200" b="1">
              <a:solidFill>
                <a:schemeClr val="tx1"/>
              </a:solidFill>
            </a:rPr>
            <a:t>SALES  DASHBOARD</a:t>
          </a:r>
        </a:p>
      </xdr:txBody>
    </xdr:sp>
    <xdr:clientData/>
  </xdr:twoCellAnchor>
  <xdr:twoCellAnchor>
    <xdr:from>
      <xdr:col>6</xdr:col>
      <xdr:colOff>230840</xdr:colOff>
      <xdr:row>4</xdr:row>
      <xdr:rowOff>129988</xdr:rowOff>
    </xdr:from>
    <xdr:to>
      <xdr:col>10</xdr:col>
      <xdr:colOff>224117</xdr:colOff>
      <xdr:row>9</xdr:row>
      <xdr:rowOff>62752</xdr:rowOff>
    </xdr:to>
    <xdr:sp macro="" textlink="">
      <xdr:nvSpPr>
        <xdr:cNvPr id="6" name="Rectangle: Rounded Corners 5">
          <a:extLst>
            <a:ext uri="{FF2B5EF4-FFF2-40B4-BE49-F238E27FC236}">
              <a16:creationId xmlns:a16="http://schemas.microsoft.com/office/drawing/2014/main" id="{E2F35957-3FC4-430E-8767-78FDE49C0C12}"/>
            </a:ext>
          </a:extLst>
        </xdr:cNvPr>
        <xdr:cNvSpPr/>
      </xdr:nvSpPr>
      <xdr:spPr>
        <a:xfrm>
          <a:off x="3861546" y="891988"/>
          <a:ext cx="2413747" cy="885264"/>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409980</xdr:colOff>
      <xdr:row>4</xdr:row>
      <xdr:rowOff>113605</xdr:rowOff>
    </xdr:from>
    <xdr:to>
      <xdr:col>16</xdr:col>
      <xdr:colOff>499628</xdr:colOff>
      <xdr:row>9</xdr:row>
      <xdr:rowOff>46369</xdr:rowOff>
    </xdr:to>
    <xdr:sp macro="" textlink="">
      <xdr:nvSpPr>
        <xdr:cNvPr id="7" name="Rectangle: Rounded Corners 6">
          <a:extLst>
            <a:ext uri="{FF2B5EF4-FFF2-40B4-BE49-F238E27FC236}">
              <a16:creationId xmlns:a16="http://schemas.microsoft.com/office/drawing/2014/main" id="{BF53DBEA-F47A-42F8-8148-D6B6D8DB0F2C}"/>
            </a:ext>
          </a:extLst>
        </xdr:cNvPr>
        <xdr:cNvSpPr/>
      </xdr:nvSpPr>
      <xdr:spPr>
        <a:xfrm>
          <a:off x="7767221" y="858088"/>
          <a:ext cx="2542062" cy="863367"/>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253253</xdr:colOff>
      <xdr:row>4</xdr:row>
      <xdr:rowOff>163605</xdr:rowOff>
    </xdr:from>
    <xdr:to>
      <xdr:col>7</xdr:col>
      <xdr:colOff>510988</xdr:colOff>
      <xdr:row>9</xdr:row>
      <xdr:rowOff>51547</xdr:rowOff>
    </xdr:to>
    <xdr:sp macro="" textlink="">
      <xdr:nvSpPr>
        <xdr:cNvPr id="9" name="Rectangle: Rounded Corners 8">
          <a:extLst>
            <a:ext uri="{FF2B5EF4-FFF2-40B4-BE49-F238E27FC236}">
              <a16:creationId xmlns:a16="http://schemas.microsoft.com/office/drawing/2014/main" id="{D9C64E5A-4ED0-4C56-B7AC-F94AB408FEE9}"/>
            </a:ext>
          </a:extLst>
        </xdr:cNvPr>
        <xdr:cNvSpPr/>
      </xdr:nvSpPr>
      <xdr:spPr>
        <a:xfrm>
          <a:off x="3883959" y="925605"/>
          <a:ext cx="862853" cy="8404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235324</xdr:colOff>
      <xdr:row>5</xdr:row>
      <xdr:rowOff>0</xdr:rowOff>
    </xdr:from>
    <xdr:to>
      <xdr:col>13</xdr:col>
      <xdr:colOff>470649</xdr:colOff>
      <xdr:row>9</xdr:row>
      <xdr:rowOff>100853</xdr:rowOff>
    </xdr:to>
    <xdr:sp macro="" textlink="">
      <xdr:nvSpPr>
        <xdr:cNvPr id="10" name="Rectangle: Rounded Corners 9">
          <a:extLst>
            <a:ext uri="{FF2B5EF4-FFF2-40B4-BE49-F238E27FC236}">
              <a16:creationId xmlns:a16="http://schemas.microsoft.com/office/drawing/2014/main" id="{349A137E-FC94-4D93-B84B-1F957FA6290B}"/>
            </a:ext>
          </a:extLst>
        </xdr:cNvPr>
        <xdr:cNvSpPr/>
      </xdr:nvSpPr>
      <xdr:spPr>
        <a:xfrm>
          <a:off x="7496736" y="952500"/>
          <a:ext cx="840442" cy="8628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235322</xdr:colOff>
      <xdr:row>4</xdr:row>
      <xdr:rowOff>123265</xdr:rowOff>
    </xdr:from>
    <xdr:to>
      <xdr:col>4</xdr:col>
      <xdr:colOff>224116</xdr:colOff>
      <xdr:row>9</xdr:row>
      <xdr:rowOff>56029</xdr:rowOff>
    </xdr:to>
    <xdr:grpSp>
      <xdr:nvGrpSpPr>
        <xdr:cNvPr id="36" name="Group 35">
          <a:extLst>
            <a:ext uri="{FF2B5EF4-FFF2-40B4-BE49-F238E27FC236}">
              <a16:creationId xmlns:a16="http://schemas.microsoft.com/office/drawing/2014/main" id="{756C7A4B-987C-1BB8-9FB5-68FAAFA00F08}"/>
            </a:ext>
          </a:extLst>
        </xdr:cNvPr>
        <xdr:cNvGrpSpPr/>
      </xdr:nvGrpSpPr>
      <xdr:grpSpPr>
        <a:xfrm>
          <a:off x="235322" y="867748"/>
          <a:ext cx="2441208" cy="863367"/>
          <a:chOff x="235322" y="885265"/>
          <a:chExt cx="2409265" cy="885264"/>
        </a:xfrm>
      </xdr:grpSpPr>
      <xdr:sp macro="" textlink="">
        <xdr:nvSpPr>
          <xdr:cNvPr id="3" name="Rectangle: Rounded Corners 2">
            <a:extLst>
              <a:ext uri="{FF2B5EF4-FFF2-40B4-BE49-F238E27FC236}">
                <a16:creationId xmlns:a16="http://schemas.microsoft.com/office/drawing/2014/main" id="{877EF835-A67B-B679-C53E-B670865C56B5}"/>
              </a:ext>
            </a:extLst>
          </xdr:cNvPr>
          <xdr:cNvSpPr/>
        </xdr:nvSpPr>
        <xdr:spPr>
          <a:xfrm>
            <a:off x="235322" y="885265"/>
            <a:ext cx="2409265" cy="885264"/>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72E6CC2-B61C-2EAB-EB6E-8B90102F68AD}"/>
              </a:ext>
            </a:extLst>
          </xdr:cNvPr>
          <xdr:cNvSpPr/>
        </xdr:nvSpPr>
        <xdr:spPr>
          <a:xfrm>
            <a:off x="257735" y="907676"/>
            <a:ext cx="862853" cy="84044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582704</xdr:colOff>
      <xdr:row>5</xdr:row>
      <xdr:rowOff>123264</xdr:rowOff>
    </xdr:from>
    <xdr:to>
      <xdr:col>4</xdr:col>
      <xdr:colOff>123263</xdr:colOff>
      <xdr:row>8</xdr:row>
      <xdr:rowOff>56029</xdr:rowOff>
    </xdr:to>
    <xdr:sp macro="" textlink="">
      <xdr:nvSpPr>
        <xdr:cNvPr id="11" name="Rectangle 10">
          <a:extLst>
            <a:ext uri="{FF2B5EF4-FFF2-40B4-BE49-F238E27FC236}">
              <a16:creationId xmlns:a16="http://schemas.microsoft.com/office/drawing/2014/main" id="{480C92B6-60D8-B03F-6696-D7D72005A22E}"/>
            </a:ext>
          </a:extLst>
        </xdr:cNvPr>
        <xdr:cNvSpPr/>
      </xdr:nvSpPr>
      <xdr:spPr>
        <a:xfrm>
          <a:off x="1187822" y="1075764"/>
          <a:ext cx="1355912" cy="50426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 </a:t>
          </a:r>
          <a:r>
            <a:rPr lang="en-IN" sz="1100" b="1" i="0" u="none" strike="noStrike">
              <a:solidFill>
                <a:schemeClr val="tx1"/>
              </a:solidFill>
              <a:effectLst/>
              <a:latin typeface="+mn-lt"/>
              <a:ea typeface="+mn-ea"/>
              <a:cs typeface="+mn-cs"/>
            </a:rPr>
            <a:t>TOTAL REVENUE </a:t>
          </a:r>
          <a:r>
            <a:rPr lang="en-IN">
              <a:solidFill>
                <a:schemeClr val="tx1"/>
              </a:solidFill>
              <a:effectLst/>
            </a:rPr>
            <a:t> </a:t>
          </a:r>
          <a:endParaRPr lang="en-IN" sz="1100" b="1" i="0" u="none" strike="noStrike">
            <a:solidFill>
              <a:schemeClr val="tx1"/>
            </a:solidFill>
            <a:effectLst/>
            <a:latin typeface="+mn-lt"/>
            <a:ea typeface="+mn-ea"/>
            <a:cs typeface="+mn-cs"/>
          </a:endParaRPr>
        </a:p>
        <a:p>
          <a:pPr algn="l"/>
          <a:r>
            <a:rPr lang="en-IN" sz="1100" b="1" i="0" u="none" strike="noStrike" baseline="0">
              <a:solidFill>
                <a:schemeClr val="tx1"/>
              </a:solidFill>
              <a:effectLst/>
              <a:latin typeface="+mn-lt"/>
              <a:ea typeface="+mn-ea"/>
              <a:cs typeface="+mn-cs"/>
            </a:rPr>
            <a:t>     </a:t>
          </a:r>
          <a:r>
            <a:rPr lang="en-IN" sz="1100" b="0" i="0" u="none" strike="noStrike">
              <a:solidFill>
                <a:schemeClr val="tx1"/>
              </a:solidFill>
              <a:effectLst/>
              <a:latin typeface="+mn-lt"/>
              <a:ea typeface="+mn-ea"/>
              <a:cs typeface="+mn-cs"/>
            </a:rPr>
            <a:t>₹ 12,64,762</a:t>
          </a:r>
          <a:r>
            <a:rPr lang="en-IN">
              <a:solidFill>
                <a:schemeClr val="tx1"/>
              </a:solidFill>
              <a:effectLst/>
            </a:rPr>
            <a:t> </a:t>
          </a:r>
          <a:r>
            <a:rPr lang="en-IN" sz="1100" b="1" i="0" u="none" strike="noStrike">
              <a:solidFill>
                <a:schemeClr val="tx1"/>
              </a:solidFill>
              <a:effectLst/>
              <a:latin typeface="+mn-lt"/>
              <a:ea typeface="+mn-ea"/>
              <a:cs typeface="+mn-cs"/>
            </a:rPr>
            <a:t> </a:t>
          </a:r>
          <a:r>
            <a:rPr lang="en-IN">
              <a:solidFill>
                <a:schemeClr val="tx1"/>
              </a:solidFill>
              <a:effectLst/>
            </a:rPr>
            <a:t> </a:t>
          </a:r>
          <a:endParaRPr lang="en-IN" sz="1100">
            <a:solidFill>
              <a:schemeClr val="tx1"/>
            </a:solidFill>
          </a:endParaRPr>
        </a:p>
      </xdr:txBody>
    </xdr:sp>
    <xdr:clientData/>
  </xdr:twoCellAnchor>
  <xdr:twoCellAnchor>
    <xdr:from>
      <xdr:col>7</xdr:col>
      <xdr:colOff>600633</xdr:colOff>
      <xdr:row>5</xdr:row>
      <xdr:rowOff>163605</xdr:rowOff>
    </xdr:from>
    <xdr:to>
      <xdr:col>10</xdr:col>
      <xdr:colOff>141193</xdr:colOff>
      <xdr:row>8</xdr:row>
      <xdr:rowOff>100852</xdr:rowOff>
    </xdr:to>
    <xdr:sp macro="" textlink="">
      <xdr:nvSpPr>
        <xdr:cNvPr id="12" name="Rectangle 11">
          <a:extLst>
            <a:ext uri="{FF2B5EF4-FFF2-40B4-BE49-F238E27FC236}">
              <a16:creationId xmlns:a16="http://schemas.microsoft.com/office/drawing/2014/main" id="{ED7D1FDA-92E0-45A8-BEF9-EE037A9983D6}"/>
            </a:ext>
          </a:extLst>
        </xdr:cNvPr>
        <xdr:cNvSpPr/>
      </xdr:nvSpPr>
      <xdr:spPr>
        <a:xfrm>
          <a:off x="4836457" y="1116105"/>
          <a:ext cx="1355912" cy="50874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   </a:t>
          </a:r>
          <a:r>
            <a:rPr lang="en-IN" sz="1100" b="1" i="0" u="none" strike="noStrike">
              <a:solidFill>
                <a:schemeClr val="tx1"/>
              </a:solidFill>
              <a:effectLst/>
              <a:latin typeface="+mn-lt"/>
              <a:ea typeface="+mn-ea"/>
              <a:cs typeface="+mn-cs"/>
            </a:rPr>
            <a:t>TOTAL ORDERS</a:t>
          </a:r>
          <a:r>
            <a:rPr lang="en-IN">
              <a:solidFill>
                <a:schemeClr val="tx1"/>
              </a:solidFill>
              <a:effectLst/>
            </a:rPr>
            <a:t> </a:t>
          </a:r>
          <a:endParaRPr lang="en-IN" sz="1100" b="1" i="0" u="none" strike="noStrike">
            <a:solidFill>
              <a:schemeClr val="tx1"/>
            </a:solidFill>
            <a:effectLst/>
            <a:latin typeface="+mn-lt"/>
            <a:ea typeface="+mn-ea"/>
            <a:cs typeface="+mn-cs"/>
          </a:endParaRPr>
        </a:p>
        <a:p>
          <a:pPr algn="l"/>
          <a:r>
            <a:rPr lang="en-IN" sz="1100" b="1" i="0" u="none" strike="noStrike" baseline="0">
              <a:solidFill>
                <a:schemeClr val="tx1"/>
              </a:solidFill>
              <a:effectLst/>
              <a:latin typeface="+mn-lt"/>
              <a:ea typeface="+mn-ea"/>
              <a:cs typeface="+mn-cs"/>
            </a:rPr>
            <a:t>           </a:t>
          </a:r>
          <a:r>
            <a:rPr lang="en-IN" sz="1100" b="0" i="0" u="none" strike="noStrike">
              <a:solidFill>
                <a:schemeClr val="tx1"/>
              </a:solidFill>
              <a:effectLst/>
              <a:latin typeface="+mn-lt"/>
              <a:ea typeface="+mn-ea"/>
              <a:cs typeface="+mn-cs"/>
            </a:rPr>
            <a:t>1200</a:t>
          </a:r>
          <a:r>
            <a:rPr lang="en-IN">
              <a:solidFill>
                <a:schemeClr val="tx1"/>
              </a:solidFill>
              <a:effectLst/>
            </a:rPr>
            <a:t> </a:t>
          </a:r>
          <a:endParaRPr lang="en-IN" sz="1100">
            <a:solidFill>
              <a:schemeClr val="tx1"/>
            </a:solidFill>
          </a:endParaRPr>
        </a:p>
      </xdr:txBody>
    </xdr:sp>
    <xdr:clientData/>
  </xdr:twoCellAnchor>
  <xdr:twoCellAnchor>
    <xdr:from>
      <xdr:col>14</xdr:col>
      <xdr:colOff>46500</xdr:colOff>
      <xdr:row>6</xdr:row>
      <xdr:rowOff>14297</xdr:rowOff>
    </xdr:from>
    <xdr:to>
      <xdr:col>16</xdr:col>
      <xdr:colOff>244986</xdr:colOff>
      <xdr:row>9</xdr:row>
      <xdr:rowOff>25504</xdr:rowOff>
    </xdr:to>
    <xdr:sp macro="" textlink="">
      <xdr:nvSpPr>
        <xdr:cNvPr id="13" name="Rectangle 12">
          <a:extLst>
            <a:ext uri="{FF2B5EF4-FFF2-40B4-BE49-F238E27FC236}">
              <a16:creationId xmlns:a16="http://schemas.microsoft.com/office/drawing/2014/main" id="{29B5DC18-5A51-4232-85D2-92399C32D0E9}"/>
            </a:ext>
          </a:extLst>
        </xdr:cNvPr>
        <xdr:cNvSpPr/>
      </xdr:nvSpPr>
      <xdr:spPr>
        <a:xfrm>
          <a:off x="8629948" y="1131021"/>
          <a:ext cx="1424693" cy="56956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bg1"/>
              </a:solidFill>
              <a:effectLst/>
              <a:latin typeface="+mn-lt"/>
              <a:ea typeface="+mn-ea"/>
              <a:cs typeface="+mn-cs"/>
            </a:rPr>
            <a:t>    </a:t>
          </a:r>
          <a:r>
            <a:rPr lang="en-IN" sz="1100" b="1" i="0" u="none" strike="noStrike">
              <a:solidFill>
                <a:schemeClr val="tx1"/>
              </a:solidFill>
              <a:effectLst/>
              <a:latin typeface="+mn-lt"/>
              <a:ea typeface="+mn-ea"/>
              <a:cs typeface="+mn-cs"/>
            </a:rPr>
            <a:t>AVERAGE</a:t>
          </a:r>
          <a:r>
            <a:rPr lang="en-IN" sz="1100" b="1" i="0" u="none" strike="noStrike" baseline="0">
              <a:solidFill>
                <a:schemeClr val="tx1"/>
              </a:solidFill>
              <a:effectLst/>
              <a:latin typeface="+mn-lt"/>
              <a:ea typeface="+mn-ea"/>
              <a:cs typeface="+mn-cs"/>
            </a:rPr>
            <a:t> PRICE</a:t>
          </a:r>
          <a:endParaRPr lang="en-IN" sz="1100" b="0" i="0" u="none" strike="noStrike">
            <a:solidFill>
              <a:schemeClr val="tx1"/>
            </a:solidFill>
            <a:effectLst/>
            <a:latin typeface="+mn-lt"/>
            <a:ea typeface="+mn-ea"/>
            <a:cs typeface="+mn-cs"/>
          </a:endParaRPr>
        </a:p>
        <a:p>
          <a:pPr algn="l"/>
          <a:r>
            <a:rPr lang="en-IN" sz="1100" b="0" i="0" u="none" strike="noStrike" baseline="0">
              <a:solidFill>
                <a:schemeClr val="tx1"/>
              </a:solidFill>
              <a:effectLst/>
              <a:latin typeface="+mn-lt"/>
              <a:ea typeface="+mn-ea"/>
              <a:cs typeface="+mn-cs"/>
            </a:rPr>
            <a:t>          </a:t>
          </a:r>
          <a:r>
            <a:rPr lang="en-IN" sz="1100" b="1" i="0" u="none" strike="noStrike" baseline="0">
              <a:solidFill>
                <a:schemeClr val="tx1"/>
              </a:solidFill>
              <a:effectLst/>
              <a:latin typeface="+mn-lt"/>
              <a:ea typeface="+mn-ea"/>
              <a:cs typeface="+mn-cs"/>
            </a:rPr>
            <a:t>  </a:t>
          </a:r>
          <a:r>
            <a:rPr lang="en-IN" sz="1100" b="0" i="0" u="none" strike="noStrike">
              <a:solidFill>
                <a:schemeClr val="tx1"/>
              </a:solidFill>
              <a:effectLst/>
              <a:latin typeface="+mn-lt"/>
              <a:ea typeface="+mn-ea"/>
              <a:cs typeface="+mn-cs"/>
            </a:rPr>
            <a:t>₹ 356</a:t>
          </a:r>
          <a:r>
            <a:rPr lang="en-IN">
              <a:solidFill>
                <a:schemeClr val="tx1"/>
              </a:solidFill>
              <a:effectLst/>
            </a:rPr>
            <a:t> </a:t>
          </a:r>
          <a:endParaRPr lang="en-IN" sz="1100" b="1" i="0" u="none" strike="noStrike">
            <a:solidFill>
              <a:schemeClr val="tx1"/>
            </a:solidFill>
            <a:effectLst/>
            <a:latin typeface="+mn-lt"/>
            <a:ea typeface="+mn-ea"/>
            <a:cs typeface="+mn-cs"/>
          </a:endParaRPr>
        </a:p>
      </xdr:txBody>
    </xdr:sp>
    <xdr:clientData/>
  </xdr:twoCellAnchor>
  <xdr:twoCellAnchor editAs="oneCell">
    <xdr:from>
      <xdr:col>6</xdr:col>
      <xdr:colOff>298076</xdr:colOff>
      <xdr:row>5</xdr:row>
      <xdr:rowOff>33618</xdr:rowOff>
    </xdr:from>
    <xdr:to>
      <xdr:col>7</xdr:col>
      <xdr:colOff>421340</xdr:colOff>
      <xdr:row>9</xdr:row>
      <xdr:rowOff>0</xdr:rowOff>
    </xdr:to>
    <xdr:pic>
      <xdr:nvPicPr>
        <xdr:cNvPr id="26" name="Graphic 25" descr="Bar graph with upward trend with solid fill">
          <a:extLst>
            <a:ext uri="{FF2B5EF4-FFF2-40B4-BE49-F238E27FC236}">
              <a16:creationId xmlns:a16="http://schemas.microsoft.com/office/drawing/2014/main" id="{5D52E6E2-4ADE-4E05-584E-83958B3E77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28782" y="986118"/>
          <a:ext cx="728382" cy="728382"/>
        </a:xfrm>
        <a:prstGeom prst="rect">
          <a:avLst/>
        </a:prstGeom>
      </xdr:spPr>
    </xdr:pic>
    <xdr:clientData/>
  </xdr:twoCellAnchor>
  <xdr:twoCellAnchor editAs="oneCell">
    <xdr:from>
      <xdr:col>0</xdr:col>
      <xdr:colOff>268942</xdr:colOff>
      <xdr:row>4</xdr:row>
      <xdr:rowOff>123265</xdr:rowOff>
    </xdr:from>
    <xdr:to>
      <xdr:col>1</xdr:col>
      <xdr:colOff>504265</xdr:colOff>
      <xdr:row>9</xdr:row>
      <xdr:rowOff>11206</xdr:rowOff>
    </xdr:to>
    <xdr:pic>
      <xdr:nvPicPr>
        <xdr:cNvPr id="32" name="Graphic 31" descr="Money with solid fill">
          <a:extLst>
            <a:ext uri="{FF2B5EF4-FFF2-40B4-BE49-F238E27FC236}">
              <a16:creationId xmlns:a16="http://schemas.microsoft.com/office/drawing/2014/main" id="{C3F07AE8-9A69-2F2F-FC2E-08BC893519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8942" y="885265"/>
          <a:ext cx="840441" cy="840441"/>
        </a:xfrm>
        <a:prstGeom prst="rect">
          <a:avLst/>
        </a:prstGeom>
      </xdr:spPr>
    </xdr:pic>
    <xdr:clientData/>
  </xdr:twoCellAnchor>
  <xdr:twoCellAnchor editAs="oneCell">
    <xdr:from>
      <xdr:col>12</xdr:col>
      <xdr:colOff>208428</xdr:colOff>
      <xdr:row>4</xdr:row>
      <xdr:rowOff>179294</xdr:rowOff>
    </xdr:from>
    <xdr:to>
      <xdr:col>13</xdr:col>
      <xdr:colOff>454958</xdr:colOff>
      <xdr:row>9</xdr:row>
      <xdr:rowOff>78441</xdr:rowOff>
    </xdr:to>
    <xdr:pic>
      <xdr:nvPicPr>
        <xdr:cNvPr id="34" name="Graphic 33" descr="Supply And Demand with solid fill">
          <a:extLst>
            <a:ext uri="{FF2B5EF4-FFF2-40B4-BE49-F238E27FC236}">
              <a16:creationId xmlns:a16="http://schemas.microsoft.com/office/drawing/2014/main" id="{AE9E45B4-13AE-CC84-D01C-BC5FDA548B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69840" y="941294"/>
          <a:ext cx="851647" cy="851647"/>
        </a:xfrm>
        <a:prstGeom prst="rect">
          <a:avLst/>
        </a:prstGeom>
      </xdr:spPr>
    </xdr:pic>
    <xdr:clientData/>
  </xdr:twoCellAnchor>
  <xdr:twoCellAnchor>
    <xdr:from>
      <xdr:col>0</xdr:col>
      <xdr:colOff>280148</xdr:colOff>
      <xdr:row>9</xdr:row>
      <xdr:rowOff>134470</xdr:rowOff>
    </xdr:from>
    <xdr:to>
      <xdr:col>8</xdr:col>
      <xdr:colOff>11207</xdr:colOff>
      <xdr:row>20</xdr:row>
      <xdr:rowOff>134470</xdr:rowOff>
    </xdr:to>
    <xdr:graphicFrame macro="">
      <xdr:nvGraphicFramePr>
        <xdr:cNvPr id="37" name="Chart 36">
          <a:extLst>
            <a:ext uri="{FF2B5EF4-FFF2-40B4-BE49-F238E27FC236}">
              <a16:creationId xmlns:a16="http://schemas.microsoft.com/office/drawing/2014/main" id="{790A6367-5A89-468E-A64A-2B608113F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197224</xdr:colOff>
      <xdr:row>9</xdr:row>
      <xdr:rowOff>156881</xdr:rowOff>
    </xdr:from>
    <xdr:to>
      <xdr:col>14</xdr:col>
      <xdr:colOff>546100</xdr:colOff>
      <xdr:row>20</xdr:row>
      <xdr:rowOff>134470</xdr:rowOff>
    </xdr:to>
    <xdr:graphicFrame macro="">
      <xdr:nvGraphicFramePr>
        <xdr:cNvPr id="38" name="Chart 37">
          <a:extLst>
            <a:ext uri="{FF2B5EF4-FFF2-40B4-BE49-F238E27FC236}">
              <a16:creationId xmlns:a16="http://schemas.microsoft.com/office/drawing/2014/main" id="{D535B838-972B-4176-93EE-53898DB50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190497</xdr:colOff>
      <xdr:row>9</xdr:row>
      <xdr:rowOff>168090</xdr:rowOff>
    </xdr:from>
    <xdr:to>
      <xdr:col>22</xdr:col>
      <xdr:colOff>313761</xdr:colOff>
      <xdr:row>20</xdr:row>
      <xdr:rowOff>100853</xdr:rowOff>
    </xdr:to>
    <xdr:graphicFrame macro="">
      <xdr:nvGraphicFramePr>
        <xdr:cNvPr id="39" name="Chart 38">
          <a:extLst>
            <a:ext uri="{FF2B5EF4-FFF2-40B4-BE49-F238E27FC236}">
              <a16:creationId xmlns:a16="http://schemas.microsoft.com/office/drawing/2014/main" id="{CBF9998C-02B0-4A07-B713-2ABF0C6F7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11206</xdr:colOff>
      <xdr:row>20</xdr:row>
      <xdr:rowOff>190500</xdr:rowOff>
    </xdr:from>
    <xdr:to>
      <xdr:col>7</xdr:col>
      <xdr:colOff>347382</xdr:colOff>
      <xdr:row>34</xdr:row>
      <xdr:rowOff>177053</xdr:rowOff>
    </xdr:to>
    <xdr:graphicFrame macro="">
      <xdr:nvGraphicFramePr>
        <xdr:cNvPr id="40" name="Chart 39">
          <a:extLst>
            <a:ext uri="{FF2B5EF4-FFF2-40B4-BE49-F238E27FC236}">
              <a16:creationId xmlns:a16="http://schemas.microsoft.com/office/drawing/2014/main" id="{670867FE-77AB-4897-8973-99F2BB691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108857</xdr:colOff>
      <xdr:row>21</xdr:row>
      <xdr:rowOff>54427</xdr:rowOff>
    </xdr:from>
    <xdr:to>
      <xdr:col>12</xdr:col>
      <xdr:colOff>100693</xdr:colOff>
      <xdr:row>32</xdr:row>
      <xdr:rowOff>149678</xdr:rowOff>
    </xdr:to>
    <mc:AlternateContent xmlns:mc="http://schemas.openxmlformats.org/markup-compatibility/2006" xmlns:a14="http://schemas.microsoft.com/office/drawing/2010/main">
      <mc:Choice Requires="a14">
        <xdr:graphicFrame macro="">
          <xdr:nvGraphicFramePr>
            <xdr:cNvPr id="41" name="UnitPrice 2">
              <a:extLst>
                <a:ext uri="{FF2B5EF4-FFF2-40B4-BE49-F238E27FC236}">
                  <a16:creationId xmlns:a16="http://schemas.microsoft.com/office/drawing/2014/main" id="{4BCB065C-0E7B-49B8-961B-D0133F7A3914}"/>
                </a:ext>
              </a:extLst>
            </xdr:cNvPr>
            <xdr:cNvGraphicFramePr/>
          </xdr:nvGraphicFramePr>
          <xdr:xfrm>
            <a:off x="0" y="0"/>
            <a:ext cx="0" cy="0"/>
          </xdr:xfrm>
          <a:graphic>
            <a:graphicData uri="http://schemas.microsoft.com/office/drawing/2010/slicer">
              <sle:slicer xmlns:sle="http://schemas.microsoft.com/office/drawing/2010/slicer" name="UnitPrice 2"/>
            </a:graphicData>
          </a:graphic>
        </xdr:graphicFrame>
      </mc:Choice>
      <mc:Fallback xmlns="">
        <xdr:sp macro="" textlink="">
          <xdr:nvSpPr>
            <xdr:cNvPr id="0" name=""/>
            <xdr:cNvSpPr>
              <a:spLocks noTextEdit="1"/>
            </xdr:cNvSpPr>
          </xdr:nvSpPr>
          <xdr:spPr>
            <a:xfrm>
              <a:off x="5626788" y="4017703"/>
              <a:ext cx="1831146" cy="219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21</xdr:row>
      <xdr:rowOff>68036</xdr:rowOff>
    </xdr:from>
    <xdr:to>
      <xdr:col>15</xdr:col>
      <xdr:colOff>264138</xdr:colOff>
      <xdr:row>32</xdr:row>
      <xdr:rowOff>136072</xdr:rowOff>
    </xdr:to>
    <mc:AlternateContent xmlns:mc="http://schemas.openxmlformats.org/markup-compatibility/2006" xmlns:a14="http://schemas.microsoft.com/office/drawing/2010/main">
      <mc:Choice Requires="a14">
        <xdr:graphicFrame macro="">
          <xdr:nvGraphicFramePr>
            <xdr:cNvPr id="42" name="OrderID 1">
              <a:extLst>
                <a:ext uri="{FF2B5EF4-FFF2-40B4-BE49-F238E27FC236}">
                  <a16:creationId xmlns:a16="http://schemas.microsoft.com/office/drawing/2014/main" id="{9C318152-CB5F-4F25-9D0A-ECDAF0C4A7A6}"/>
                </a:ext>
              </a:extLst>
            </xdr:cNvPr>
            <xdr:cNvGraphicFramePr/>
          </xdr:nvGraphicFramePr>
          <xdr:xfrm>
            <a:off x="0" y="0"/>
            <a:ext cx="0" cy="0"/>
          </xdr:xfrm>
          <a:graphic>
            <a:graphicData uri="http://schemas.microsoft.com/office/drawing/2010/slicer">
              <sle:slicer xmlns:sle="http://schemas.microsoft.com/office/drawing/2010/slicer" name="OrderID 1"/>
            </a:graphicData>
          </a:graphic>
        </xdr:graphicFrame>
      </mc:Choice>
      <mc:Fallback xmlns="">
        <xdr:sp macro="" textlink="">
          <xdr:nvSpPr>
            <xdr:cNvPr id="0" name=""/>
            <xdr:cNvSpPr>
              <a:spLocks noTextEdit="1"/>
            </xdr:cNvSpPr>
          </xdr:nvSpPr>
          <xdr:spPr>
            <a:xfrm>
              <a:off x="7642991" y="4031312"/>
              <a:ext cx="1817699" cy="2170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557893</xdr:colOff>
      <xdr:row>21</xdr:row>
      <xdr:rowOff>95250</xdr:rowOff>
    </xdr:from>
    <xdr:to>
      <xdr:col>18</xdr:col>
      <xdr:colOff>549728</xdr:colOff>
      <xdr:row>32</xdr:row>
      <xdr:rowOff>108857</xdr:rowOff>
    </xdr:to>
    <mc:AlternateContent xmlns:mc="http://schemas.openxmlformats.org/markup-compatibility/2006" xmlns:a14="http://schemas.microsoft.com/office/drawing/2010/main">
      <mc:Choice Requires="a14">
        <xdr:graphicFrame macro="">
          <xdr:nvGraphicFramePr>
            <xdr:cNvPr id="43" name="UnitPrice 3">
              <a:extLst>
                <a:ext uri="{FF2B5EF4-FFF2-40B4-BE49-F238E27FC236}">
                  <a16:creationId xmlns:a16="http://schemas.microsoft.com/office/drawing/2014/main" id="{4F72C78F-A684-4368-BFD8-DCC88238C0F0}"/>
                </a:ext>
              </a:extLst>
            </xdr:cNvPr>
            <xdr:cNvGraphicFramePr/>
          </xdr:nvGraphicFramePr>
          <xdr:xfrm>
            <a:off x="0" y="0"/>
            <a:ext cx="0" cy="0"/>
          </xdr:xfrm>
          <a:graphic>
            <a:graphicData uri="http://schemas.microsoft.com/office/drawing/2010/slicer">
              <sle:slicer xmlns:sle="http://schemas.microsoft.com/office/drawing/2010/slicer" name="UnitPrice 3"/>
            </a:graphicData>
          </a:graphic>
        </xdr:graphicFrame>
      </mc:Choice>
      <mc:Fallback xmlns="">
        <xdr:sp macro="" textlink="">
          <xdr:nvSpPr>
            <xdr:cNvPr id="0" name=""/>
            <xdr:cNvSpPr>
              <a:spLocks noTextEdit="1"/>
            </xdr:cNvSpPr>
          </xdr:nvSpPr>
          <xdr:spPr>
            <a:xfrm>
              <a:off x="9754445" y="4058526"/>
              <a:ext cx="1831145" cy="2115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285750</xdr:colOff>
      <xdr:row>21</xdr:row>
      <xdr:rowOff>81644</xdr:rowOff>
    </xdr:from>
    <xdr:to>
      <xdr:col>22</xdr:col>
      <xdr:colOff>277586</xdr:colOff>
      <xdr:row>32</xdr:row>
      <xdr:rowOff>81644</xdr:rowOff>
    </xdr:to>
    <mc:AlternateContent xmlns:mc="http://schemas.openxmlformats.org/markup-compatibility/2006" xmlns:a14="http://schemas.microsoft.com/office/drawing/2010/main">
      <mc:Choice Requires="a14">
        <xdr:graphicFrame macro="">
          <xdr:nvGraphicFramePr>
            <xdr:cNvPr id="44" name="ItemsInCart 1">
              <a:extLst>
                <a:ext uri="{FF2B5EF4-FFF2-40B4-BE49-F238E27FC236}">
                  <a16:creationId xmlns:a16="http://schemas.microsoft.com/office/drawing/2014/main" id="{B839413C-9D93-460C-A9D1-67E2B5284A02}"/>
                </a:ext>
              </a:extLst>
            </xdr:cNvPr>
            <xdr:cNvGraphicFramePr/>
          </xdr:nvGraphicFramePr>
          <xdr:xfrm>
            <a:off x="0" y="0"/>
            <a:ext cx="0" cy="0"/>
          </xdr:xfrm>
          <a:graphic>
            <a:graphicData uri="http://schemas.microsoft.com/office/drawing/2010/slicer">
              <sle:slicer xmlns:sle="http://schemas.microsoft.com/office/drawing/2010/slicer" name="ItemsInCart 1"/>
            </a:graphicData>
          </a:graphic>
        </xdr:graphicFrame>
      </mc:Choice>
      <mc:Fallback xmlns="">
        <xdr:sp macro="" textlink="">
          <xdr:nvSpPr>
            <xdr:cNvPr id="0" name=""/>
            <xdr:cNvSpPr>
              <a:spLocks noTextEdit="1"/>
            </xdr:cNvSpPr>
          </xdr:nvSpPr>
          <xdr:spPr>
            <a:xfrm>
              <a:off x="11934716" y="4044920"/>
              <a:ext cx="1831146" cy="2102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147170</xdr:rowOff>
    </xdr:from>
    <xdr:to>
      <xdr:col>22</xdr:col>
      <xdr:colOff>302555</xdr:colOff>
      <xdr:row>34</xdr:row>
      <xdr:rowOff>189753</xdr:rowOff>
    </xdr:to>
    <xdr:grpSp>
      <xdr:nvGrpSpPr>
        <xdr:cNvPr id="49" name="Group 48">
          <a:extLst>
            <a:ext uri="{FF2B5EF4-FFF2-40B4-BE49-F238E27FC236}">
              <a16:creationId xmlns:a16="http://schemas.microsoft.com/office/drawing/2014/main" id="{0D91AF15-5CAC-6529-4935-BF1A5B585609}"/>
            </a:ext>
          </a:extLst>
        </xdr:cNvPr>
        <xdr:cNvGrpSpPr/>
      </xdr:nvGrpSpPr>
      <xdr:grpSpPr>
        <a:xfrm>
          <a:off x="0" y="1822256"/>
          <a:ext cx="13790831" cy="4805083"/>
          <a:chOff x="23906" y="1810870"/>
          <a:chExt cx="13713755" cy="4906683"/>
        </a:xfrm>
      </xdr:grpSpPr>
      <xdr:graphicFrame macro="">
        <xdr:nvGraphicFramePr>
          <xdr:cNvPr id="45" name="Chart 44">
            <a:extLst>
              <a:ext uri="{FF2B5EF4-FFF2-40B4-BE49-F238E27FC236}">
                <a16:creationId xmlns:a16="http://schemas.microsoft.com/office/drawing/2014/main" id="{69CC0821-6FC8-2277-3E00-92F80BC5551A}"/>
              </a:ext>
            </a:extLst>
          </xdr:cNvPr>
          <xdr:cNvGraphicFramePr>
            <a:graphicFrameLocks/>
          </xdr:cNvGraphicFramePr>
        </xdr:nvGraphicFramePr>
        <xdr:xfrm>
          <a:off x="292848" y="1810870"/>
          <a:ext cx="4607859" cy="20955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6" name="Chart 45">
            <a:extLst>
              <a:ext uri="{FF2B5EF4-FFF2-40B4-BE49-F238E27FC236}">
                <a16:creationId xmlns:a16="http://schemas.microsoft.com/office/drawing/2014/main" id="{96914360-D13A-9D3E-2607-AD19FF82B85D}"/>
              </a:ext>
            </a:extLst>
          </xdr:cNvPr>
          <xdr:cNvGraphicFramePr>
            <a:graphicFrameLocks/>
          </xdr:cNvGraphicFramePr>
        </xdr:nvGraphicFramePr>
        <xdr:xfrm>
          <a:off x="5086724" y="1833281"/>
          <a:ext cx="4006476" cy="2073089"/>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7" name="Chart 46">
            <a:extLst>
              <a:ext uri="{FF2B5EF4-FFF2-40B4-BE49-F238E27FC236}">
                <a16:creationId xmlns:a16="http://schemas.microsoft.com/office/drawing/2014/main" id="{5366E80C-6875-65CC-B471-1F6024C8E2E3}"/>
              </a:ext>
            </a:extLst>
          </xdr:cNvPr>
          <xdr:cNvGraphicFramePr>
            <a:graphicFrameLocks/>
          </xdr:cNvGraphicFramePr>
        </xdr:nvGraphicFramePr>
        <xdr:xfrm>
          <a:off x="9347197" y="1844490"/>
          <a:ext cx="4390464" cy="2028263"/>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8" name="Chart 47">
            <a:extLst>
              <a:ext uri="{FF2B5EF4-FFF2-40B4-BE49-F238E27FC236}">
                <a16:creationId xmlns:a16="http://schemas.microsoft.com/office/drawing/2014/main" id="{69C130D5-4D14-E82B-EDC6-D1B2948E555F}"/>
              </a:ext>
            </a:extLst>
          </xdr:cNvPr>
          <xdr:cNvGraphicFramePr>
            <a:graphicFrameLocks/>
          </xdr:cNvGraphicFramePr>
        </xdr:nvGraphicFramePr>
        <xdr:xfrm>
          <a:off x="23906" y="3962400"/>
          <a:ext cx="4603376" cy="275515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9.271144212966" createdVersion="8" refreshedVersion="8" minRefreshableVersion="3" recordCount="1202" xr:uid="{A40FCBC9-91CD-4F53-BEC1-B7DF9B8D32B9}">
  <cacheSource type="worksheet">
    <worksheetSource name="Table1"/>
  </cacheSource>
  <cacheFields count="10">
    <cacheField name="OrderID" numFmtId="0">
      <sharedItems containsBlank="1"/>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0">
      <sharedItems containsString="0" containsBlank="1" containsNumber="1" minValue="11.39" maxValue="699.93" count="1194">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m/>
      </sharedItems>
    </cacheField>
    <cacheField name="ShippingAddress" numFmtId="0">
      <sharedItems containsBlank="1"/>
    </cacheField>
    <cacheField name="PaymentMethod" numFmtId="0">
      <sharedItems containsBlank="1"/>
    </cacheField>
    <cacheField name="ItemsInCart" numFmtId="0">
      <sharedItems containsString="0" containsBlank="1" containsNumber="1" containsInteger="1" minValue="1" maxValue="10"/>
    </cacheField>
    <cacheField name="ReferralSource" numFmtId="0">
      <sharedItems containsBlank="1"/>
    </cacheField>
    <cacheField name="TotalPrice" numFmtId="0">
      <sharedItems containsString="0" containsBlank="1" containsNumber="1" minValue="11.39" maxValue="3456.4"/>
    </cacheField>
  </cacheFields>
  <extLst>
    <ext xmlns:x14="http://schemas.microsoft.com/office/spreadsheetml/2009/9/main" uri="{725AE2AE-9491-48be-B2B4-4EB974FC3084}">
      <x14:pivotCacheDefinition pivotCacheId="14570319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9.27178599537" createdVersion="8" refreshedVersion="8" minRefreshableVersion="3" recordCount="1202" xr:uid="{5D8748DE-9B87-4174-84B3-C045CD44F02E}">
  <cacheSource type="worksheet">
    <worksheetSource name="Table1"/>
  </cacheSource>
  <cacheFields count="10">
    <cacheField name="OrderID" numFmtId="0">
      <sharedItems containsBlank="1" count="1201">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m/>
      </sharedItems>
    </cacheField>
    <cacheField name="CustomerID" numFmtId="0">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acheField>
    <cacheField name="Quantity" numFmtId="0">
      <sharedItems containsString="0" containsBlank="1" containsNumber="1" containsInteger="1" minValue="1" maxValue="5"/>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acheField>
    <cacheField name="ItemsInCart" numFmtId="0">
      <sharedItems containsString="0" containsBlank="1" containsNumber="1" containsInteger="1" minValue="1" maxValue="10"/>
    </cacheField>
    <cacheField name="ReferralSource" numFmtId="0">
      <sharedItems containsBlank="1" count="6">
        <s v="Instagram"/>
        <s v="Referral"/>
        <s v="Email"/>
        <s v="Facebook"/>
        <s v="Google"/>
        <m/>
      </sharedItems>
    </cacheField>
    <cacheField name="TotalPrice" numFmtId="0">
      <sharedItems containsString="0" containsBlank="1" containsNumber="1" minValue="11.39" maxValue="3456.4"/>
    </cacheField>
  </cacheFields>
  <extLst>
    <ext xmlns:x14="http://schemas.microsoft.com/office/spreadsheetml/2009/9/main" uri="{725AE2AE-9491-48be-B2B4-4EB974FC3084}">
      <x14:pivotCacheDefinition pivotCacheId="12559242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9.272977314817" createdVersion="8" refreshedVersion="8" minRefreshableVersion="3" recordCount="1202" xr:uid="{98322F06-C246-4437-B680-840FA7812C23}">
  <cacheSource type="worksheet">
    <worksheetSource name="Table1"/>
  </cacheSource>
  <cacheFields count="10">
    <cacheField name="OrderID" numFmtId="0">
      <sharedItems containsBlank="1"/>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0">
      <sharedItems containsString="0" containsBlank="1" containsNumber="1" minValue="11.39" maxValue="699.93" count="1194">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m/>
      </sharedItems>
    </cacheField>
    <cacheField name="ShippingAddress" numFmtId="0">
      <sharedItems containsBlank="1"/>
    </cacheField>
    <cacheField name="PaymentMethod" numFmtId="0">
      <sharedItems containsBlank="1"/>
    </cacheField>
    <cacheField name="ItemsInCart" numFmtId="0">
      <sharedItems containsString="0" containsBlank="1" containsNumber="1" containsInteger="1" minValue="1" maxValue="10" count="11">
        <n v="7"/>
        <n v="3"/>
        <n v="8"/>
        <n v="5"/>
        <n v="4"/>
        <n v="6"/>
        <n v="9"/>
        <n v="2"/>
        <n v="10"/>
        <n v="1"/>
        <m/>
      </sharedItems>
    </cacheField>
    <cacheField name="ReferralSource" numFmtId="0">
      <sharedItems containsBlank="1"/>
    </cacheField>
    <cacheField name="TotalPrice" numFmtId="0">
      <sharedItems containsString="0" containsBlank="1" containsNumber="1" minValue="11.39" maxValue="3456.4"/>
    </cacheField>
  </cacheFields>
  <extLst>
    <ext xmlns:x14="http://schemas.microsoft.com/office/spreadsheetml/2009/9/main" uri="{725AE2AE-9491-48be-B2B4-4EB974FC3084}">
      <x14:pivotCacheDefinition pivotCacheId="67958753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9.274101620373" createdVersion="8" refreshedVersion="8" minRefreshableVersion="3" recordCount="1202" xr:uid="{194769A8-5D44-40B6-A482-FCBDF2E181D7}">
  <cacheSource type="worksheet">
    <worksheetSource name="Table1"/>
  </cacheSource>
  <cacheFields count="10">
    <cacheField name="OrderID" numFmtId="0">
      <sharedItems containsBlank="1"/>
    </cacheField>
    <cacheField name="CustomerID" numFmtId="0">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ount="6">
        <n v="5"/>
        <n v="2"/>
        <n v="1"/>
        <n v="4"/>
        <n v="3"/>
        <m/>
      </sharedItems>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acheField>
    <cacheField name="ItemsInCart" numFmtId="0">
      <sharedItems containsString="0" containsBlank="1" containsNumber="1" containsInteger="1" minValue="1" maxValue="10" count="11">
        <n v="7"/>
        <n v="3"/>
        <n v="8"/>
        <n v="5"/>
        <n v="4"/>
        <n v="6"/>
        <n v="9"/>
        <n v="2"/>
        <n v="10"/>
        <n v="1"/>
        <m/>
      </sharedItems>
    </cacheField>
    <cacheField name="ReferralSource" numFmtId="0">
      <sharedItems containsBlank="1"/>
    </cacheField>
    <cacheField name="TotalPrice" numFmtId="0">
      <sharedItems containsString="0" containsBlank="1" containsNumber="1" minValue="11.39" maxValue="3456.4"/>
    </cacheField>
  </cacheFields>
  <extLst>
    <ext xmlns:x14="http://schemas.microsoft.com/office/spreadsheetml/2009/9/main" uri="{725AE2AE-9491-48be-B2B4-4EB974FC3084}">
      <x14:pivotCacheDefinition pivotCacheId="864750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s v="ORD200000"/>
    <s v="C72649"/>
    <x v="0"/>
    <n v="5"/>
    <x v="0"/>
    <s v="928 Main St"/>
    <s v="Debit Card"/>
    <n v="7"/>
    <s v="Instagram"/>
    <n v="2853.1"/>
  </r>
  <r>
    <s v="ORD200001"/>
    <s v="C75739"/>
    <x v="1"/>
    <n v="2"/>
    <x v="1"/>
    <s v="823 Main St"/>
    <s v="Online"/>
    <n v="3"/>
    <s v="Referral"/>
    <n v="302.7"/>
  </r>
  <r>
    <s v="ORD200002"/>
    <s v="C81728"/>
    <x v="2"/>
    <n v="5"/>
    <x v="2"/>
    <s v="512 Main St"/>
    <s v="Credit Card"/>
    <n v="8"/>
    <s v="Email"/>
    <n v="2753.4"/>
  </r>
  <r>
    <s v="ORD200003"/>
    <s v="C33540"/>
    <x v="3"/>
    <n v="1"/>
    <x v="3"/>
    <s v="275 Main St"/>
    <s v="Debit Card"/>
    <n v="5"/>
    <s v="Facebook"/>
    <n v="273.19"/>
  </r>
  <r>
    <s v="ORD200004"/>
    <s v="C81840"/>
    <x v="4"/>
    <n v="4"/>
    <x v="4"/>
    <s v="668 Main St"/>
    <s v="Online"/>
    <n v="8"/>
    <s v="Email"/>
    <n v="2504.04"/>
  </r>
  <r>
    <s v="ORD200005"/>
    <s v="C37249"/>
    <x v="1"/>
    <n v="2"/>
    <x v="5"/>
    <s v="934 Main St"/>
    <s v="Credit Card"/>
    <n v="4"/>
    <s v="Instagram"/>
    <n v="491.72"/>
  </r>
  <r>
    <s v="ORD200006"/>
    <s v="C83492"/>
    <x v="5"/>
    <n v="1"/>
    <x v="6"/>
    <s v="986 Main St"/>
    <s v="Gift Card"/>
    <n v="6"/>
    <s v="Facebook"/>
    <n v="664.42"/>
  </r>
  <r>
    <s v="ORD200007"/>
    <s v="C41460"/>
    <x v="0"/>
    <n v="5"/>
    <x v="7"/>
    <s v="706 Main St"/>
    <s v="Cash"/>
    <n v="9"/>
    <s v="Facebook"/>
    <n v="747.75"/>
  </r>
  <r>
    <s v="ORD200008"/>
    <s v="C26817"/>
    <x v="1"/>
    <n v="2"/>
    <x v="8"/>
    <s v="904 Main St"/>
    <s v="Gift Card"/>
    <n v="2"/>
    <s v="Email"/>
    <n v="268.56"/>
  </r>
  <r>
    <s v="ORD200009"/>
    <s v="C31946"/>
    <x v="6"/>
    <n v="4"/>
    <x v="9"/>
    <s v="102 Main St"/>
    <s v="Credit Card"/>
    <n v="6"/>
    <s v="Google"/>
    <n v="2037.52"/>
  </r>
  <r>
    <s v="ORD200010"/>
    <s v="C43443"/>
    <x v="2"/>
    <n v="5"/>
    <x v="10"/>
    <s v="333 Main St"/>
    <s v="Credit Card"/>
    <n v="9"/>
    <s v="Instagram"/>
    <n v="3129.85"/>
  </r>
  <r>
    <s v="ORD200011"/>
    <s v="C93861"/>
    <x v="0"/>
    <n v="3"/>
    <x v="11"/>
    <s v="831 Main St"/>
    <s v="Online"/>
    <n v="7"/>
    <s v="Email"/>
    <n v="147.41999999999999"/>
  </r>
  <r>
    <s v="ORD200012"/>
    <s v="C38785"/>
    <x v="0"/>
    <n v="2"/>
    <x v="12"/>
    <s v="179 Main St"/>
    <s v="Debit Card"/>
    <n v="6"/>
    <s v="Referral"/>
    <n v="361"/>
  </r>
  <r>
    <s v="ORD200013"/>
    <s v="C88348"/>
    <x v="5"/>
    <n v="3"/>
    <x v="13"/>
    <s v="903 Main St"/>
    <s v="Credit Card"/>
    <n v="4"/>
    <s v="Facebook"/>
    <n v="604.47"/>
  </r>
  <r>
    <s v="ORD200014"/>
    <s v="C98474"/>
    <x v="2"/>
    <n v="2"/>
    <x v="14"/>
    <s v="980 Main St"/>
    <s v="Debit Card"/>
    <n v="3"/>
    <s v="Instagram"/>
    <n v="786.66"/>
  </r>
  <r>
    <s v="ORD200015"/>
    <s v="C39416"/>
    <x v="4"/>
    <n v="1"/>
    <x v="15"/>
    <s v="942 Main St"/>
    <s v="Cash"/>
    <n v="3"/>
    <s v="Google"/>
    <n v="473.96"/>
  </r>
  <r>
    <s v="ORD200016"/>
    <s v="C28976"/>
    <x v="4"/>
    <n v="2"/>
    <x v="16"/>
    <s v="914 Main St"/>
    <s v="Credit Card"/>
    <n v="3"/>
    <s v="Email"/>
    <n v="1067.6199999999999"/>
  </r>
  <r>
    <s v="ORD200017"/>
    <s v="C60672"/>
    <x v="2"/>
    <n v="1"/>
    <x v="17"/>
    <s v="382 Main St"/>
    <s v="Debit Card"/>
    <n v="3"/>
    <s v="Referral"/>
    <n v="423.4"/>
  </r>
  <r>
    <s v="ORD200018"/>
    <s v="C84329"/>
    <x v="6"/>
    <n v="1"/>
    <x v="18"/>
    <s v="891 Main St"/>
    <s v="Gift Card"/>
    <n v="3"/>
    <s v="Facebook"/>
    <n v="431.44"/>
  </r>
  <r>
    <s v="ORD200019"/>
    <s v="C14552"/>
    <x v="0"/>
    <n v="5"/>
    <x v="19"/>
    <s v="273 Main St"/>
    <s v="Cash"/>
    <n v="9"/>
    <s v="Google"/>
    <n v="1120"/>
  </r>
  <r>
    <s v="ORD200020"/>
    <s v="C54829"/>
    <x v="3"/>
    <n v="5"/>
    <x v="20"/>
    <s v="587 Main St"/>
    <s v="Cash"/>
    <n v="9"/>
    <s v="Instagram"/>
    <n v="312.55"/>
  </r>
  <r>
    <s v="ORD200021"/>
    <s v="C99023"/>
    <x v="0"/>
    <n v="4"/>
    <x v="21"/>
    <s v="569 Main St"/>
    <s v="Cash"/>
    <n v="6"/>
    <s v="Google"/>
    <n v="1371.8"/>
  </r>
  <r>
    <s v="ORD200022"/>
    <s v="C34416"/>
    <x v="0"/>
    <n v="2"/>
    <x v="22"/>
    <s v="633 Main St"/>
    <s v="Online"/>
    <n v="2"/>
    <s v="Google"/>
    <n v="99.24"/>
  </r>
  <r>
    <s v="ORD200023"/>
    <s v="C42372"/>
    <x v="1"/>
    <n v="4"/>
    <x v="23"/>
    <s v="755 Main St"/>
    <s v="Debit Card"/>
    <n v="5"/>
    <s v="Referral"/>
    <n v="1093"/>
  </r>
  <r>
    <s v="ORD200024"/>
    <s v="C17470"/>
    <x v="5"/>
    <n v="2"/>
    <x v="24"/>
    <s v="956 Main St"/>
    <s v="Online"/>
    <n v="3"/>
    <s v="Referral"/>
    <n v="461.9"/>
  </r>
  <r>
    <s v="ORD200025"/>
    <s v="C42577"/>
    <x v="0"/>
    <n v="1"/>
    <x v="25"/>
    <s v="709 Main St"/>
    <s v="Debit Card"/>
    <n v="3"/>
    <s v="Email"/>
    <n v="399.98"/>
  </r>
  <r>
    <s v="ORD200026"/>
    <s v="C21944"/>
    <x v="5"/>
    <n v="5"/>
    <x v="26"/>
    <s v="296 Main St"/>
    <s v="Online"/>
    <n v="6"/>
    <s v="Referral"/>
    <n v="297.75"/>
  </r>
  <r>
    <s v="ORD200027"/>
    <s v="C97593"/>
    <x v="4"/>
    <n v="1"/>
    <x v="27"/>
    <s v="881 Main St"/>
    <s v="Online"/>
    <n v="6"/>
    <s v="Google"/>
    <n v="472.74"/>
  </r>
  <r>
    <s v="ORD200028"/>
    <s v="C59823"/>
    <x v="1"/>
    <n v="4"/>
    <x v="28"/>
    <s v="568 Main St"/>
    <s v="Online"/>
    <n v="5"/>
    <s v="Email"/>
    <n v="640.28"/>
  </r>
  <r>
    <s v="ORD200029"/>
    <s v="C33260"/>
    <x v="6"/>
    <n v="3"/>
    <x v="29"/>
    <s v="930 Main St"/>
    <s v="Credit Card"/>
    <n v="6"/>
    <s v="Referral"/>
    <n v="1270.5899999999999"/>
  </r>
  <r>
    <s v="ORD200030"/>
    <s v="C44267"/>
    <x v="0"/>
    <n v="2"/>
    <x v="30"/>
    <s v="895 Main St"/>
    <s v="Online"/>
    <n v="5"/>
    <s v="Referral"/>
    <n v="853.4"/>
  </r>
  <r>
    <s v="ORD200031"/>
    <s v="C26445"/>
    <x v="3"/>
    <n v="3"/>
    <x v="31"/>
    <s v="996 Main St"/>
    <s v="Debit Card"/>
    <n v="6"/>
    <s v="Facebook"/>
    <n v="1500.24"/>
  </r>
  <r>
    <s v="ORD200032"/>
    <s v="C12388"/>
    <x v="2"/>
    <n v="5"/>
    <x v="32"/>
    <s v="830 Main St"/>
    <s v="Cash"/>
    <n v="10"/>
    <s v="Email"/>
    <n v="2683.6"/>
  </r>
  <r>
    <s v="ORD200033"/>
    <s v="C52184"/>
    <x v="3"/>
    <n v="1"/>
    <x v="33"/>
    <s v="912 Main St"/>
    <s v="Online"/>
    <n v="4"/>
    <s v="Facebook"/>
    <n v="162.77000000000001"/>
  </r>
  <r>
    <s v="ORD200034"/>
    <s v="C67195"/>
    <x v="3"/>
    <n v="4"/>
    <x v="34"/>
    <s v="926 Main St"/>
    <s v="Credit Card"/>
    <n v="5"/>
    <s v="Facebook"/>
    <n v="2306.08"/>
  </r>
  <r>
    <s v="ORD200035"/>
    <s v="C50304"/>
    <x v="0"/>
    <n v="2"/>
    <x v="35"/>
    <s v="128 Main St"/>
    <s v="Online"/>
    <n v="2"/>
    <s v="Facebook"/>
    <n v="930.3"/>
  </r>
  <r>
    <s v="ORD200036"/>
    <s v="C59337"/>
    <x v="5"/>
    <n v="2"/>
    <x v="36"/>
    <s v="465 Main St"/>
    <s v="Debit Card"/>
    <n v="5"/>
    <s v="Facebook"/>
    <n v="1068.8599999999999"/>
  </r>
  <r>
    <s v="ORD200037"/>
    <s v="C10054"/>
    <x v="5"/>
    <n v="2"/>
    <x v="37"/>
    <s v="409 Main St"/>
    <s v="Cash"/>
    <n v="7"/>
    <s v="Instagram"/>
    <n v="153.47999999999999"/>
  </r>
  <r>
    <s v="ORD200038"/>
    <s v="C15924"/>
    <x v="5"/>
    <n v="1"/>
    <x v="38"/>
    <s v="549 Main St"/>
    <s v="Debit Card"/>
    <n v="3"/>
    <s v="Google"/>
    <n v="245.89"/>
  </r>
  <r>
    <s v="ORD200039"/>
    <s v="C96664"/>
    <x v="4"/>
    <n v="3"/>
    <x v="39"/>
    <s v="666 Main St"/>
    <s v="Credit Card"/>
    <n v="4"/>
    <s v="Referral"/>
    <n v="769.37999999999988"/>
  </r>
  <r>
    <s v="ORD200040"/>
    <s v="C84766"/>
    <x v="6"/>
    <n v="2"/>
    <x v="40"/>
    <s v="267 Main St"/>
    <s v="Online"/>
    <n v="4"/>
    <s v="Instagram"/>
    <n v="688.04"/>
  </r>
  <r>
    <s v="ORD200041"/>
    <s v="C20212"/>
    <x v="0"/>
    <n v="3"/>
    <x v="41"/>
    <s v="657 Main St"/>
    <s v="Gift Card"/>
    <n v="4"/>
    <s v="Instagram"/>
    <n v="1834.35"/>
  </r>
  <r>
    <s v="ORD200042"/>
    <s v="C28712"/>
    <x v="4"/>
    <n v="2"/>
    <x v="42"/>
    <s v="980 Main St"/>
    <s v="Cash"/>
    <n v="6"/>
    <s v="Instagram"/>
    <n v="303.32"/>
  </r>
  <r>
    <s v="ORD200043"/>
    <s v="C60572"/>
    <x v="3"/>
    <n v="3"/>
    <x v="43"/>
    <s v="871 Main St"/>
    <s v="Online"/>
    <n v="8"/>
    <s v="Instagram"/>
    <n v="1497.63"/>
  </r>
  <r>
    <s v="ORD200044"/>
    <s v="C73225"/>
    <x v="1"/>
    <n v="2"/>
    <x v="44"/>
    <s v="996 Main St"/>
    <s v="Gift Card"/>
    <n v="3"/>
    <s v="Referral"/>
    <n v="1100.3599999999999"/>
  </r>
  <r>
    <s v="ORD200045"/>
    <s v="C17388"/>
    <x v="3"/>
    <n v="1"/>
    <x v="45"/>
    <s v="157 Main St"/>
    <s v="Debit Card"/>
    <n v="1"/>
    <s v="Facebook"/>
    <n v="317.25"/>
  </r>
  <r>
    <s v="ORD200046"/>
    <s v="C43212"/>
    <x v="0"/>
    <n v="4"/>
    <x v="46"/>
    <s v="223 Main St"/>
    <s v="Debit Card"/>
    <n v="4"/>
    <s v="Instagram"/>
    <n v="2200.56"/>
  </r>
  <r>
    <s v="ORD200047"/>
    <s v="C38134"/>
    <x v="6"/>
    <n v="2"/>
    <x v="47"/>
    <s v="323 Main St"/>
    <s v="Credit Card"/>
    <n v="3"/>
    <s v="Email"/>
    <n v="419.88"/>
  </r>
  <r>
    <s v="ORD200048"/>
    <s v="C12408"/>
    <x v="0"/>
    <n v="2"/>
    <x v="48"/>
    <s v="464 Main St"/>
    <s v="Debit Card"/>
    <n v="4"/>
    <s v="Google"/>
    <n v="161.54"/>
  </r>
  <r>
    <s v="ORD200049"/>
    <s v="C11985"/>
    <x v="4"/>
    <n v="1"/>
    <x v="49"/>
    <s v="633 Main St"/>
    <s v="Credit Card"/>
    <n v="1"/>
    <s v="Email"/>
    <n v="30.44"/>
  </r>
  <r>
    <s v="ORD200050"/>
    <s v="C96494"/>
    <x v="2"/>
    <n v="1"/>
    <x v="50"/>
    <s v="446 Main St"/>
    <s v="Online"/>
    <n v="6"/>
    <s v="Instagram"/>
    <n v="179.22"/>
  </r>
  <r>
    <s v="ORD200051"/>
    <s v="C36778"/>
    <x v="2"/>
    <n v="1"/>
    <x v="51"/>
    <s v="434 Main St"/>
    <s v="Cash"/>
    <n v="2"/>
    <s v="Facebook"/>
    <n v="388.33"/>
  </r>
  <r>
    <s v="ORD200052"/>
    <s v="C30513"/>
    <x v="2"/>
    <n v="1"/>
    <x v="52"/>
    <s v="232 Main St"/>
    <s v="Online"/>
    <n v="5"/>
    <s v="Facebook"/>
    <n v="586.44000000000005"/>
  </r>
  <r>
    <s v="ORD200053"/>
    <s v="C67551"/>
    <x v="1"/>
    <n v="4"/>
    <x v="53"/>
    <s v="512 Main St"/>
    <s v="Online"/>
    <n v="5"/>
    <s v="Google"/>
    <n v="1955.12"/>
  </r>
  <r>
    <s v="ORD200054"/>
    <s v="C48120"/>
    <x v="3"/>
    <n v="1"/>
    <x v="54"/>
    <s v="623 Main St"/>
    <s v="Online"/>
    <n v="5"/>
    <s v="Email"/>
    <n v="280.25"/>
  </r>
  <r>
    <s v="ORD200055"/>
    <s v="C95984"/>
    <x v="4"/>
    <n v="3"/>
    <x v="55"/>
    <s v="565 Main St"/>
    <s v="Online"/>
    <n v="3"/>
    <s v="Facebook"/>
    <n v="1033.2"/>
  </r>
  <r>
    <s v="ORD200056"/>
    <s v="C54298"/>
    <x v="2"/>
    <n v="3"/>
    <x v="56"/>
    <s v="566 Main St"/>
    <s v="Cash"/>
    <n v="5"/>
    <s v="Referral"/>
    <n v="1437.63"/>
  </r>
  <r>
    <s v="ORD200057"/>
    <s v="C88036"/>
    <x v="4"/>
    <n v="5"/>
    <x v="57"/>
    <s v="842 Main St"/>
    <s v="Cash"/>
    <n v="6"/>
    <s v="Instagram"/>
    <n v="1571.35"/>
  </r>
  <r>
    <s v="ORD200058"/>
    <s v="C60190"/>
    <x v="1"/>
    <n v="4"/>
    <x v="58"/>
    <s v="202 Main St"/>
    <s v="Gift Card"/>
    <n v="6"/>
    <s v="Google"/>
    <n v="1898.76"/>
  </r>
  <r>
    <s v="ORD200059"/>
    <s v="C97603"/>
    <x v="3"/>
    <n v="4"/>
    <x v="59"/>
    <s v="811 Main St"/>
    <s v="Online"/>
    <n v="5"/>
    <s v="Facebook"/>
    <n v="2373.08"/>
  </r>
  <r>
    <s v="ORD200060"/>
    <s v="C39256"/>
    <x v="6"/>
    <n v="1"/>
    <x v="60"/>
    <s v="634 Main St"/>
    <s v="Debit Card"/>
    <n v="3"/>
    <s v="Referral"/>
    <n v="417.1"/>
  </r>
  <r>
    <s v="ORD200061"/>
    <s v="C61618"/>
    <x v="6"/>
    <n v="4"/>
    <x v="61"/>
    <s v="104 Main St"/>
    <s v="Cash"/>
    <n v="7"/>
    <s v="Facebook"/>
    <n v="488.8"/>
  </r>
  <r>
    <s v="ORD200062"/>
    <s v="C36497"/>
    <x v="6"/>
    <n v="2"/>
    <x v="62"/>
    <s v="691 Main St"/>
    <s v="Debit Card"/>
    <n v="3"/>
    <s v="Email"/>
    <n v="86.3"/>
  </r>
  <r>
    <s v="ORD200063"/>
    <s v="C96695"/>
    <x v="3"/>
    <n v="1"/>
    <x v="63"/>
    <s v="813 Main St"/>
    <s v="Debit Card"/>
    <n v="6"/>
    <s v="Referral"/>
    <n v="564.86"/>
  </r>
  <r>
    <s v="ORD200064"/>
    <s v="C49720"/>
    <x v="4"/>
    <n v="3"/>
    <x v="64"/>
    <s v="752 Main St"/>
    <s v="Debit Card"/>
    <n v="4"/>
    <s v="Facebook"/>
    <n v="391.83"/>
  </r>
  <r>
    <s v="ORD200065"/>
    <s v="C97735"/>
    <x v="0"/>
    <n v="5"/>
    <x v="65"/>
    <s v="385 Main St"/>
    <s v="Credit Card"/>
    <n v="6"/>
    <s v="Instagram"/>
    <n v="408.5"/>
  </r>
  <r>
    <s v="ORD200066"/>
    <s v="C18104"/>
    <x v="3"/>
    <n v="5"/>
    <x v="66"/>
    <s v="715 Main St"/>
    <s v="Cash"/>
    <n v="9"/>
    <s v="Referral"/>
    <n v="635.90000000000009"/>
  </r>
  <r>
    <s v="ORD200067"/>
    <s v="C25587"/>
    <x v="4"/>
    <n v="4"/>
    <x v="67"/>
    <s v="440 Main St"/>
    <s v="Debit Card"/>
    <n v="8"/>
    <s v="Google"/>
    <n v="48.4"/>
  </r>
  <r>
    <s v="ORD200068"/>
    <s v="C41598"/>
    <x v="3"/>
    <n v="3"/>
    <x v="68"/>
    <s v="709 Main St"/>
    <s v="Credit Card"/>
    <n v="5"/>
    <s v="Email"/>
    <n v="1472.76"/>
  </r>
  <r>
    <s v="ORD200069"/>
    <s v="C43338"/>
    <x v="0"/>
    <n v="3"/>
    <x v="69"/>
    <s v="552 Main St"/>
    <s v="Online"/>
    <n v="4"/>
    <s v="Referral"/>
    <n v="1435.95"/>
  </r>
  <r>
    <s v="ORD200070"/>
    <s v="C25123"/>
    <x v="6"/>
    <n v="1"/>
    <x v="70"/>
    <s v="384 Main St"/>
    <s v="Gift Card"/>
    <n v="2"/>
    <s v="Instagram"/>
    <n v="629.21"/>
  </r>
  <r>
    <s v="ORD200071"/>
    <s v="C37454"/>
    <x v="0"/>
    <n v="3"/>
    <x v="71"/>
    <s v="923 Main St"/>
    <s v="Credit Card"/>
    <n v="4"/>
    <s v="Referral"/>
    <n v="1303.3499999999999"/>
  </r>
  <r>
    <s v="ORD200072"/>
    <s v="C19451"/>
    <x v="2"/>
    <n v="4"/>
    <x v="72"/>
    <s v="942 Main St"/>
    <s v="Gift Card"/>
    <n v="5"/>
    <s v="Facebook"/>
    <n v="2357.7600000000002"/>
  </r>
  <r>
    <s v="ORD200073"/>
    <s v="C17269"/>
    <x v="0"/>
    <n v="4"/>
    <x v="73"/>
    <s v="129 Main St"/>
    <s v="Gift Card"/>
    <n v="4"/>
    <s v="Facebook"/>
    <n v="1733.8"/>
  </r>
  <r>
    <s v="ORD200074"/>
    <s v="C25382"/>
    <x v="1"/>
    <n v="5"/>
    <x v="74"/>
    <s v="622 Main St"/>
    <s v="Cash"/>
    <n v="5"/>
    <s v="Instagram"/>
    <n v="454.35"/>
  </r>
  <r>
    <s v="ORD200075"/>
    <s v="C80651"/>
    <x v="2"/>
    <n v="3"/>
    <x v="75"/>
    <s v="917 Main St"/>
    <s v="Debit Card"/>
    <n v="5"/>
    <s v="Email"/>
    <n v="1194.51"/>
  </r>
  <r>
    <s v="ORD200076"/>
    <s v="C58638"/>
    <x v="5"/>
    <n v="4"/>
    <x v="76"/>
    <s v="239 Main St"/>
    <s v="Cash"/>
    <n v="6"/>
    <s v="Email"/>
    <n v="1531.52"/>
  </r>
  <r>
    <s v="ORD200077"/>
    <s v="C50121"/>
    <x v="1"/>
    <n v="1"/>
    <x v="77"/>
    <s v="348 Main St"/>
    <s v="Credit Card"/>
    <n v="5"/>
    <s v="Google"/>
    <n v="583.17999999999995"/>
  </r>
  <r>
    <s v="ORD200078"/>
    <s v="C32029"/>
    <x v="4"/>
    <n v="4"/>
    <x v="78"/>
    <s v="146 Main St"/>
    <s v="Debit Card"/>
    <n v="4"/>
    <s v="Instagram"/>
    <n v="701.44"/>
  </r>
  <r>
    <s v="ORD200079"/>
    <s v="C76700"/>
    <x v="2"/>
    <n v="2"/>
    <x v="79"/>
    <s v="103 Main St"/>
    <s v="Online"/>
    <n v="2"/>
    <s v="Facebook"/>
    <n v="623.82000000000005"/>
  </r>
  <r>
    <s v="ORD200080"/>
    <s v="C29041"/>
    <x v="1"/>
    <n v="3"/>
    <x v="80"/>
    <s v="591 Main St"/>
    <s v="Online"/>
    <n v="6"/>
    <s v="Facebook"/>
    <n v="1768.68"/>
  </r>
  <r>
    <s v="ORD200081"/>
    <s v="C29314"/>
    <x v="0"/>
    <n v="2"/>
    <x v="81"/>
    <s v="496 Main St"/>
    <s v="Cash"/>
    <n v="6"/>
    <s v="Email"/>
    <n v="788.6"/>
  </r>
  <r>
    <s v="ORD200082"/>
    <s v="C65799"/>
    <x v="2"/>
    <n v="4"/>
    <x v="82"/>
    <s v="971 Main St"/>
    <s v="Debit Card"/>
    <n v="9"/>
    <s v="Google"/>
    <n v="2260.8000000000002"/>
  </r>
  <r>
    <s v="ORD200083"/>
    <s v="C15681"/>
    <x v="5"/>
    <n v="4"/>
    <x v="83"/>
    <s v="989 Main St"/>
    <s v="Credit Card"/>
    <n v="6"/>
    <s v="Referral"/>
    <n v="2161.64"/>
  </r>
  <r>
    <s v="ORD200084"/>
    <s v="C64160"/>
    <x v="0"/>
    <n v="2"/>
    <x v="84"/>
    <s v="967 Main St"/>
    <s v="Online"/>
    <n v="4"/>
    <s v="Instagram"/>
    <n v="330.98"/>
  </r>
  <r>
    <s v="ORD200085"/>
    <s v="C14553"/>
    <x v="2"/>
    <n v="3"/>
    <x v="85"/>
    <s v="768 Main St"/>
    <s v="Cash"/>
    <n v="8"/>
    <s v="Email"/>
    <n v="440.18999999999988"/>
  </r>
  <r>
    <s v="ORD200086"/>
    <s v="C88205"/>
    <x v="4"/>
    <n v="5"/>
    <x v="86"/>
    <s v="447 Main St"/>
    <s v="Online"/>
    <n v="5"/>
    <s v="Referral"/>
    <n v="3215.15"/>
  </r>
  <r>
    <s v="ORD200087"/>
    <s v="C91245"/>
    <x v="2"/>
    <n v="3"/>
    <x v="87"/>
    <s v="915 Main St"/>
    <s v="Cash"/>
    <n v="4"/>
    <s v="Facebook"/>
    <n v="675.33"/>
  </r>
  <r>
    <s v="ORD200088"/>
    <s v="C75439"/>
    <x v="6"/>
    <n v="3"/>
    <x v="88"/>
    <s v="318 Main St"/>
    <s v="Gift Card"/>
    <n v="7"/>
    <s v="Google"/>
    <n v="344.43"/>
  </r>
  <r>
    <s v="ORD200089"/>
    <s v="C17181"/>
    <x v="4"/>
    <n v="5"/>
    <x v="89"/>
    <s v="291 Main St"/>
    <s v="Credit Card"/>
    <n v="8"/>
    <s v="Google"/>
    <n v="2276.65"/>
  </r>
  <r>
    <s v="ORD200090"/>
    <s v="C36540"/>
    <x v="3"/>
    <n v="4"/>
    <x v="90"/>
    <s v="611 Main St"/>
    <s v="Gift Card"/>
    <n v="4"/>
    <s v="Email"/>
    <n v="728.32"/>
  </r>
  <r>
    <s v="ORD200091"/>
    <s v="C98216"/>
    <x v="5"/>
    <n v="5"/>
    <x v="91"/>
    <s v="196 Main St"/>
    <s v="Cash"/>
    <n v="6"/>
    <s v="Referral"/>
    <n v="2463.75"/>
  </r>
  <r>
    <s v="ORD200092"/>
    <s v="C29568"/>
    <x v="4"/>
    <n v="4"/>
    <x v="92"/>
    <s v="203 Main St"/>
    <s v="Online"/>
    <n v="7"/>
    <s v="Facebook"/>
    <n v="194.44"/>
  </r>
  <r>
    <s v="ORD200093"/>
    <s v="C97262"/>
    <x v="6"/>
    <n v="4"/>
    <x v="93"/>
    <s v="837 Main St"/>
    <s v="Credit Card"/>
    <n v="7"/>
    <s v="Referral"/>
    <n v="1724.04"/>
  </r>
  <r>
    <s v="ORD200094"/>
    <s v="C79821"/>
    <x v="3"/>
    <n v="1"/>
    <x v="94"/>
    <s v="781 Main St"/>
    <s v="Gift Card"/>
    <n v="6"/>
    <s v="Instagram"/>
    <n v="531.17999999999995"/>
  </r>
  <r>
    <s v="ORD200095"/>
    <s v="C76761"/>
    <x v="4"/>
    <n v="4"/>
    <x v="95"/>
    <s v="839 Main St"/>
    <s v="Debit Card"/>
    <n v="7"/>
    <s v="Referral"/>
    <n v="470.04"/>
  </r>
  <r>
    <s v="ORD200096"/>
    <s v="C93007"/>
    <x v="1"/>
    <n v="2"/>
    <x v="96"/>
    <s v="103 Main St"/>
    <s v="Gift Card"/>
    <n v="7"/>
    <s v="Instagram"/>
    <n v="465.66"/>
  </r>
  <r>
    <s v="ORD200097"/>
    <s v="C15624"/>
    <x v="2"/>
    <n v="5"/>
    <x v="97"/>
    <s v="922 Main St"/>
    <s v="Debit Card"/>
    <n v="9"/>
    <s v="Email"/>
    <n v="3097.6"/>
  </r>
  <r>
    <s v="ORD200098"/>
    <s v="C70921"/>
    <x v="4"/>
    <n v="2"/>
    <x v="98"/>
    <s v="533 Main St"/>
    <s v="Debit Card"/>
    <n v="3"/>
    <s v="Email"/>
    <n v="457.08"/>
  </r>
  <r>
    <s v="ORD200099"/>
    <s v="C30477"/>
    <x v="4"/>
    <n v="1"/>
    <x v="99"/>
    <s v="717 Main St"/>
    <s v="Debit Card"/>
    <n v="2"/>
    <s v="Email"/>
    <n v="201.58"/>
  </r>
  <r>
    <s v="ORD200100"/>
    <s v="C74866"/>
    <x v="1"/>
    <n v="3"/>
    <x v="100"/>
    <s v="743 Main St"/>
    <s v="Online"/>
    <n v="6"/>
    <s v="Facebook"/>
    <n v="1994.37"/>
  </r>
  <r>
    <s v="ORD200101"/>
    <s v="C15283"/>
    <x v="4"/>
    <n v="1"/>
    <x v="101"/>
    <s v="152 Main St"/>
    <s v="Cash"/>
    <n v="6"/>
    <s v="Google"/>
    <n v="381.02"/>
  </r>
  <r>
    <s v="ORD200102"/>
    <s v="C18037"/>
    <x v="5"/>
    <n v="2"/>
    <x v="102"/>
    <s v="944 Main St"/>
    <s v="Gift Card"/>
    <n v="3"/>
    <s v="Email"/>
    <n v="140.68"/>
  </r>
  <r>
    <s v="ORD200103"/>
    <s v="C62656"/>
    <x v="1"/>
    <n v="4"/>
    <x v="103"/>
    <s v="514 Main St"/>
    <s v="Credit Card"/>
    <n v="9"/>
    <s v="Email"/>
    <n v="873.72"/>
  </r>
  <r>
    <s v="ORD200104"/>
    <s v="C65744"/>
    <x v="1"/>
    <n v="1"/>
    <x v="104"/>
    <s v="647 Main St"/>
    <s v="Gift Card"/>
    <n v="1"/>
    <s v="Email"/>
    <n v="582.04"/>
  </r>
  <r>
    <s v="ORD200105"/>
    <s v="C72290"/>
    <x v="4"/>
    <n v="3"/>
    <x v="105"/>
    <s v="810 Main St"/>
    <s v="Gift Card"/>
    <n v="7"/>
    <s v="Facebook"/>
    <n v="556.20000000000005"/>
  </r>
  <r>
    <s v="ORD200106"/>
    <s v="C73514"/>
    <x v="6"/>
    <n v="3"/>
    <x v="106"/>
    <s v="126 Main St"/>
    <s v="Credit Card"/>
    <n v="3"/>
    <s v="Email"/>
    <n v="1395.15"/>
  </r>
  <r>
    <s v="ORD200107"/>
    <s v="C16775"/>
    <x v="4"/>
    <n v="5"/>
    <x v="107"/>
    <s v="848 Main St"/>
    <s v="Gift Card"/>
    <n v="8"/>
    <s v="Instagram"/>
    <n v="3353.75"/>
  </r>
  <r>
    <s v="ORD200108"/>
    <s v="C33099"/>
    <x v="5"/>
    <n v="5"/>
    <x v="108"/>
    <s v="522 Main St"/>
    <s v="Gift Card"/>
    <n v="9"/>
    <s v="Email"/>
    <n v="241.9"/>
  </r>
  <r>
    <s v="ORD200109"/>
    <s v="C51157"/>
    <x v="6"/>
    <n v="3"/>
    <x v="109"/>
    <s v="131 Main St"/>
    <s v="Gift Card"/>
    <n v="3"/>
    <s v="Referral"/>
    <n v="1778.61"/>
  </r>
  <r>
    <s v="ORD200110"/>
    <s v="C74562"/>
    <x v="2"/>
    <n v="1"/>
    <x v="110"/>
    <s v="388 Main St"/>
    <s v="Gift Card"/>
    <n v="5"/>
    <s v="Instagram"/>
    <n v="220.77"/>
  </r>
  <r>
    <s v="ORD200111"/>
    <s v="C95271"/>
    <x v="6"/>
    <n v="3"/>
    <x v="111"/>
    <s v="620 Main St"/>
    <s v="Online"/>
    <n v="7"/>
    <s v="Google"/>
    <n v="927.66000000000008"/>
  </r>
  <r>
    <s v="ORD200112"/>
    <s v="C81366"/>
    <x v="0"/>
    <n v="1"/>
    <x v="112"/>
    <s v="423 Main St"/>
    <s v="Online"/>
    <n v="2"/>
    <s v="Referral"/>
    <n v="410.6"/>
  </r>
  <r>
    <s v="ORD200113"/>
    <s v="C65905"/>
    <x v="5"/>
    <n v="5"/>
    <x v="113"/>
    <s v="605 Main St"/>
    <s v="Cash"/>
    <n v="9"/>
    <s v="Instagram"/>
    <n v="950.40000000000009"/>
  </r>
  <r>
    <s v="ORD200114"/>
    <s v="C77272"/>
    <x v="0"/>
    <n v="5"/>
    <x v="114"/>
    <s v="115 Main St"/>
    <s v="Online"/>
    <n v="8"/>
    <s v="Google"/>
    <n v="2492.4"/>
  </r>
  <r>
    <s v="ORD200115"/>
    <s v="C32580"/>
    <x v="1"/>
    <n v="5"/>
    <x v="115"/>
    <s v="122 Main St"/>
    <s v="Online"/>
    <n v="9"/>
    <s v="Facebook"/>
    <n v="1874.95"/>
  </r>
  <r>
    <s v="ORD200116"/>
    <s v="C47761"/>
    <x v="4"/>
    <n v="4"/>
    <x v="116"/>
    <s v="109 Main St"/>
    <s v="Credit Card"/>
    <n v="6"/>
    <s v="Facebook"/>
    <n v="1165.4000000000001"/>
  </r>
  <r>
    <s v="ORD200117"/>
    <s v="C49187"/>
    <x v="2"/>
    <n v="1"/>
    <x v="117"/>
    <s v="593 Main St"/>
    <s v="Gift Card"/>
    <n v="5"/>
    <s v="Referral"/>
    <n v="535.5"/>
  </r>
  <r>
    <s v="ORD200118"/>
    <s v="C27898"/>
    <x v="4"/>
    <n v="5"/>
    <x v="118"/>
    <s v="807 Main St"/>
    <s v="Gift Card"/>
    <n v="7"/>
    <s v="Google"/>
    <n v="2513.5500000000002"/>
  </r>
  <r>
    <s v="ORD200119"/>
    <s v="C14683"/>
    <x v="6"/>
    <n v="2"/>
    <x v="119"/>
    <s v="187 Main St"/>
    <s v="Debit Card"/>
    <n v="7"/>
    <s v="Referral"/>
    <n v="1069.3399999999999"/>
  </r>
  <r>
    <s v="ORD200120"/>
    <s v="C58108"/>
    <x v="2"/>
    <n v="4"/>
    <x v="120"/>
    <s v="986 Main St"/>
    <s v="Cash"/>
    <n v="4"/>
    <s v="Instagram"/>
    <n v="2517.36"/>
  </r>
  <r>
    <s v="ORD200121"/>
    <s v="C89822"/>
    <x v="6"/>
    <n v="1"/>
    <x v="121"/>
    <s v="673 Main St"/>
    <s v="Cash"/>
    <n v="1"/>
    <s v="Instagram"/>
    <n v="410.78"/>
  </r>
  <r>
    <s v="ORD200122"/>
    <s v="C96787"/>
    <x v="5"/>
    <n v="2"/>
    <x v="122"/>
    <s v="588 Main St"/>
    <s v="Gift Card"/>
    <n v="2"/>
    <s v="Facebook"/>
    <n v="1066.04"/>
  </r>
  <r>
    <s v="ORD200123"/>
    <s v="C86064"/>
    <x v="6"/>
    <n v="3"/>
    <x v="123"/>
    <s v="727 Main St"/>
    <s v="Online"/>
    <n v="5"/>
    <s v="Instagram"/>
    <n v="834.12000000000012"/>
  </r>
  <r>
    <s v="ORD200124"/>
    <s v="C97148"/>
    <x v="4"/>
    <n v="4"/>
    <x v="124"/>
    <s v="563 Main St"/>
    <s v="Online"/>
    <n v="8"/>
    <s v="Google"/>
    <n v="1135.1600000000001"/>
  </r>
  <r>
    <s v="ORD200125"/>
    <s v="C91099"/>
    <x v="1"/>
    <n v="2"/>
    <x v="125"/>
    <s v="758 Main St"/>
    <s v="Credit Card"/>
    <n v="5"/>
    <s v="Email"/>
    <n v="1025.3"/>
  </r>
  <r>
    <s v="ORD200126"/>
    <s v="C55606"/>
    <x v="6"/>
    <n v="4"/>
    <x v="126"/>
    <s v="353 Main St"/>
    <s v="Gift Card"/>
    <n v="8"/>
    <s v="Google"/>
    <n v="1102"/>
  </r>
  <r>
    <s v="ORD200127"/>
    <s v="C71486"/>
    <x v="6"/>
    <n v="3"/>
    <x v="127"/>
    <s v="365 Main St"/>
    <s v="Debit Card"/>
    <n v="3"/>
    <s v="Google"/>
    <n v="1407.96"/>
  </r>
  <r>
    <s v="ORD200128"/>
    <s v="C86408"/>
    <x v="2"/>
    <n v="4"/>
    <x v="128"/>
    <s v="244 Main St"/>
    <s v="Gift Card"/>
    <n v="4"/>
    <s v="Google"/>
    <n v="84.28"/>
  </r>
  <r>
    <s v="ORD200129"/>
    <s v="C52751"/>
    <x v="5"/>
    <n v="4"/>
    <x v="129"/>
    <s v="427 Main St"/>
    <s v="Debit Card"/>
    <n v="4"/>
    <s v="Facebook"/>
    <n v="1055.72"/>
  </r>
  <r>
    <s v="ORD200130"/>
    <s v="C29059"/>
    <x v="6"/>
    <n v="3"/>
    <x v="130"/>
    <s v="513 Main St"/>
    <s v="Online"/>
    <n v="3"/>
    <s v="Facebook"/>
    <n v="1503.9"/>
  </r>
  <r>
    <s v="ORD200131"/>
    <s v="C72862"/>
    <x v="2"/>
    <n v="1"/>
    <x v="131"/>
    <s v="606 Main St"/>
    <s v="Gift Card"/>
    <n v="5"/>
    <s v="Instagram"/>
    <n v="84.8"/>
  </r>
  <r>
    <s v="ORD200132"/>
    <s v="C96257"/>
    <x v="2"/>
    <n v="4"/>
    <x v="132"/>
    <s v="583 Main St"/>
    <s v="Credit Card"/>
    <n v="6"/>
    <s v="Email"/>
    <n v="1803"/>
  </r>
  <r>
    <s v="ORD200133"/>
    <s v="C87432"/>
    <x v="3"/>
    <n v="4"/>
    <x v="133"/>
    <s v="636 Main St"/>
    <s v="Debit Card"/>
    <n v="6"/>
    <s v="Google"/>
    <n v="1208.2"/>
  </r>
  <r>
    <s v="ORD200134"/>
    <s v="C16253"/>
    <x v="5"/>
    <n v="2"/>
    <x v="134"/>
    <s v="583 Main St"/>
    <s v="Cash"/>
    <n v="4"/>
    <s v="Email"/>
    <n v="399.4"/>
  </r>
  <r>
    <s v="ORD200135"/>
    <s v="C79909"/>
    <x v="4"/>
    <n v="2"/>
    <x v="135"/>
    <s v="642 Main St"/>
    <s v="Gift Card"/>
    <n v="5"/>
    <s v="Referral"/>
    <n v="137.62"/>
  </r>
  <r>
    <s v="ORD200136"/>
    <s v="C73370"/>
    <x v="5"/>
    <n v="1"/>
    <x v="136"/>
    <s v="595 Main St"/>
    <s v="Gift Card"/>
    <n v="1"/>
    <s v="Instagram"/>
    <n v="44.35"/>
  </r>
  <r>
    <s v="ORD200137"/>
    <s v="C50682"/>
    <x v="0"/>
    <n v="2"/>
    <x v="137"/>
    <s v="598 Main St"/>
    <s v="Credit Card"/>
    <n v="5"/>
    <s v="Google"/>
    <n v="501.96"/>
  </r>
  <r>
    <s v="ORD200138"/>
    <s v="C21905"/>
    <x v="2"/>
    <n v="1"/>
    <x v="138"/>
    <s v="478 Main St"/>
    <s v="Debit Card"/>
    <n v="3"/>
    <s v="Google"/>
    <n v="298.06"/>
  </r>
  <r>
    <s v="ORD200139"/>
    <s v="C61440"/>
    <x v="1"/>
    <n v="1"/>
    <x v="139"/>
    <s v="714 Main St"/>
    <s v="Cash"/>
    <n v="1"/>
    <s v="Email"/>
    <n v="583.9"/>
  </r>
  <r>
    <s v="ORD200140"/>
    <s v="C33110"/>
    <x v="3"/>
    <n v="3"/>
    <x v="140"/>
    <s v="388 Main St"/>
    <s v="Online"/>
    <n v="3"/>
    <s v="Email"/>
    <n v="1584.42"/>
  </r>
  <r>
    <s v="ORD200141"/>
    <s v="C80004"/>
    <x v="4"/>
    <n v="3"/>
    <x v="141"/>
    <s v="151 Main St"/>
    <s v="Cash"/>
    <n v="3"/>
    <s v="Instagram"/>
    <n v="2052.42"/>
  </r>
  <r>
    <s v="ORD200142"/>
    <s v="C86374"/>
    <x v="6"/>
    <n v="5"/>
    <x v="142"/>
    <s v="573 Main St"/>
    <s v="Cash"/>
    <n v="7"/>
    <s v="Email"/>
    <n v="1363.85"/>
  </r>
  <r>
    <s v="ORD200143"/>
    <s v="C66521"/>
    <x v="3"/>
    <n v="4"/>
    <x v="143"/>
    <s v="933 Main St"/>
    <s v="Online"/>
    <n v="5"/>
    <s v="Referral"/>
    <n v="1600.28"/>
  </r>
  <r>
    <s v="ORD200144"/>
    <s v="C63365"/>
    <x v="6"/>
    <n v="5"/>
    <x v="144"/>
    <s v="895 Main St"/>
    <s v="Credit Card"/>
    <n v="8"/>
    <s v="Facebook"/>
    <n v="1098.9000000000001"/>
  </r>
  <r>
    <s v="ORD200145"/>
    <s v="C85929"/>
    <x v="4"/>
    <n v="3"/>
    <x v="145"/>
    <s v="798 Main St"/>
    <s v="Credit Card"/>
    <n v="6"/>
    <s v="Google"/>
    <n v="440.73"/>
  </r>
  <r>
    <s v="ORD200146"/>
    <s v="C84645"/>
    <x v="2"/>
    <n v="2"/>
    <x v="146"/>
    <s v="404 Main St"/>
    <s v="Credit Card"/>
    <n v="4"/>
    <s v="Instagram"/>
    <n v="822.98"/>
  </r>
  <r>
    <s v="ORD200147"/>
    <s v="C46316"/>
    <x v="5"/>
    <n v="2"/>
    <x v="147"/>
    <s v="893 Main St"/>
    <s v="Credit Card"/>
    <n v="2"/>
    <s v="Google"/>
    <n v="930.36"/>
  </r>
  <r>
    <s v="ORD200148"/>
    <s v="C35100"/>
    <x v="1"/>
    <n v="2"/>
    <x v="148"/>
    <s v="139 Main St"/>
    <s v="Credit Card"/>
    <n v="3"/>
    <s v="Google"/>
    <n v="639.82000000000005"/>
  </r>
  <r>
    <s v="ORD200149"/>
    <s v="C39671"/>
    <x v="5"/>
    <n v="1"/>
    <x v="149"/>
    <s v="174 Main St"/>
    <s v="Debit Card"/>
    <n v="3"/>
    <s v="Facebook"/>
    <n v="217.56"/>
  </r>
  <r>
    <s v="ORD200150"/>
    <s v="C25503"/>
    <x v="1"/>
    <n v="2"/>
    <x v="150"/>
    <s v="981 Main St"/>
    <s v="Debit Card"/>
    <n v="5"/>
    <s v="Google"/>
    <n v="211.14"/>
  </r>
  <r>
    <s v="ORD200151"/>
    <s v="C32960"/>
    <x v="4"/>
    <n v="5"/>
    <x v="151"/>
    <s v="947 Main St"/>
    <s v="Debit Card"/>
    <n v="7"/>
    <s v="Email"/>
    <n v="2223.8000000000002"/>
  </r>
  <r>
    <s v="ORD200152"/>
    <s v="C77736"/>
    <x v="3"/>
    <n v="2"/>
    <x v="152"/>
    <s v="659 Main St"/>
    <s v="Cash"/>
    <n v="3"/>
    <s v="Referral"/>
    <n v="798.08"/>
  </r>
  <r>
    <s v="ORD200153"/>
    <s v="C71570"/>
    <x v="3"/>
    <n v="4"/>
    <x v="153"/>
    <s v="437 Main St"/>
    <s v="Online"/>
    <n v="9"/>
    <s v="Instagram"/>
    <n v="2137.92"/>
  </r>
  <r>
    <s v="ORD200154"/>
    <s v="C73587"/>
    <x v="1"/>
    <n v="4"/>
    <x v="154"/>
    <s v="727 Main St"/>
    <s v="Credit Card"/>
    <n v="9"/>
    <s v="Instagram"/>
    <n v="1632.84"/>
  </r>
  <r>
    <s v="ORD200155"/>
    <s v="C62740"/>
    <x v="1"/>
    <n v="1"/>
    <x v="155"/>
    <s v="446 Main St"/>
    <s v="Online"/>
    <n v="6"/>
    <s v="Referral"/>
    <n v="424.4"/>
  </r>
  <r>
    <s v="ORD200156"/>
    <s v="C58808"/>
    <x v="3"/>
    <n v="2"/>
    <x v="156"/>
    <s v="651 Main St"/>
    <s v="Online"/>
    <n v="4"/>
    <s v="Email"/>
    <n v="539.66"/>
  </r>
  <r>
    <s v="ORD200157"/>
    <s v="C50422"/>
    <x v="0"/>
    <n v="2"/>
    <x v="157"/>
    <s v="636 Main St"/>
    <s v="Online"/>
    <n v="4"/>
    <s v="Facebook"/>
    <n v="1129.1600000000001"/>
  </r>
  <r>
    <s v="ORD200158"/>
    <s v="C23334"/>
    <x v="2"/>
    <n v="1"/>
    <x v="158"/>
    <s v="737 Main St"/>
    <s v="Credit Card"/>
    <n v="5"/>
    <s v="Instagram"/>
    <n v="331.06"/>
  </r>
  <r>
    <s v="ORD200159"/>
    <s v="C48965"/>
    <x v="4"/>
    <n v="1"/>
    <x v="159"/>
    <s v="819 Main St"/>
    <s v="Credit Card"/>
    <n v="5"/>
    <s v="Email"/>
    <n v="299.35000000000002"/>
  </r>
  <r>
    <s v="ORD200160"/>
    <s v="C38669"/>
    <x v="0"/>
    <n v="4"/>
    <x v="160"/>
    <s v="240 Main St"/>
    <s v="Cash"/>
    <n v="7"/>
    <s v="Referral"/>
    <n v="405.28"/>
  </r>
  <r>
    <s v="ORD200161"/>
    <s v="C35091"/>
    <x v="0"/>
    <n v="1"/>
    <x v="161"/>
    <s v="513 Main St"/>
    <s v="Credit Card"/>
    <n v="1"/>
    <s v="Facebook"/>
    <n v="211.14"/>
  </r>
  <r>
    <s v="ORD200162"/>
    <s v="C82313"/>
    <x v="3"/>
    <n v="3"/>
    <x v="162"/>
    <s v="917 Main St"/>
    <s v="Online"/>
    <n v="8"/>
    <s v="Google"/>
    <n v="197.58"/>
  </r>
  <r>
    <s v="ORD200163"/>
    <s v="C99589"/>
    <x v="2"/>
    <n v="1"/>
    <x v="163"/>
    <s v="277 Main St"/>
    <s v="Online"/>
    <n v="1"/>
    <s v="Referral"/>
    <n v="641.39"/>
  </r>
  <r>
    <s v="ORD200164"/>
    <s v="C70566"/>
    <x v="6"/>
    <n v="5"/>
    <x v="164"/>
    <s v="667 Main St"/>
    <s v="Gift Card"/>
    <n v="5"/>
    <s v="Google"/>
    <n v="2682.9"/>
  </r>
  <r>
    <s v="ORD200165"/>
    <s v="C60355"/>
    <x v="0"/>
    <n v="2"/>
    <x v="165"/>
    <s v="226 Main St"/>
    <s v="Online"/>
    <n v="7"/>
    <s v="Google"/>
    <n v="1000.58"/>
  </r>
  <r>
    <s v="ORD200166"/>
    <s v="C28889"/>
    <x v="3"/>
    <n v="3"/>
    <x v="166"/>
    <s v="565 Main St"/>
    <s v="Cash"/>
    <n v="6"/>
    <s v="Instagram"/>
    <n v="258.87"/>
  </r>
  <r>
    <s v="ORD200167"/>
    <s v="C88304"/>
    <x v="3"/>
    <n v="2"/>
    <x v="167"/>
    <s v="219 Main St"/>
    <s v="Online"/>
    <n v="2"/>
    <s v="Email"/>
    <n v="768.28"/>
  </r>
  <r>
    <s v="ORD200168"/>
    <s v="C49517"/>
    <x v="4"/>
    <n v="1"/>
    <x v="168"/>
    <s v="878 Main St"/>
    <s v="Cash"/>
    <n v="6"/>
    <s v="Facebook"/>
    <n v="594.96"/>
  </r>
  <r>
    <s v="ORD200169"/>
    <s v="C35785"/>
    <x v="4"/>
    <n v="1"/>
    <x v="169"/>
    <s v="732 Main St"/>
    <s v="Online"/>
    <n v="2"/>
    <s v="Email"/>
    <n v="427.82"/>
  </r>
  <r>
    <s v="ORD200170"/>
    <s v="C80223"/>
    <x v="6"/>
    <n v="4"/>
    <x v="170"/>
    <s v="535 Main St"/>
    <s v="Cash"/>
    <n v="8"/>
    <s v="Instagram"/>
    <n v="2651.76"/>
  </r>
  <r>
    <s v="ORD200171"/>
    <s v="C20448"/>
    <x v="2"/>
    <n v="2"/>
    <x v="171"/>
    <s v="336 Main St"/>
    <s v="Credit Card"/>
    <n v="7"/>
    <s v="Instagram"/>
    <n v="296.44"/>
  </r>
  <r>
    <s v="ORD200172"/>
    <s v="C34134"/>
    <x v="4"/>
    <n v="1"/>
    <x v="172"/>
    <s v="365 Main St"/>
    <s v="Online"/>
    <n v="1"/>
    <s v="Email"/>
    <n v="254.12"/>
  </r>
  <r>
    <s v="ORD200173"/>
    <s v="C95901"/>
    <x v="1"/>
    <n v="3"/>
    <x v="173"/>
    <s v="806 Main St"/>
    <s v="Online"/>
    <n v="4"/>
    <s v="Google"/>
    <n v="1993.38"/>
  </r>
  <r>
    <s v="ORD200174"/>
    <s v="C51145"/>
    <x v="4"/>
    <n v="4"/>
    <x v="174"/>
    <s v="790 Main St"/>
    <s v="Debit Card"/>
    <n v="9"/>
    <s v="Email"/>
    <n v="2403.2399999999998"/>
  </r>
  <r>
    <s v="ORD200175"/>
    <s v="C78170"/>
    <x v="3"/>
    <n v="5"/>
    <x v="175"/>
    <s v="332 Main St"/>
    <s v="Debit Card"/>
    <n v="6"/>
    <s v="Referral"/>
    <n v="341.7"/>
  </r>
  <r>
    <s v="ORD200176"/>
    <s v="C80151"/>
    <x v="2"/>
    <n v="4"/>
    <x v="176"/>
    <s v="553 Main St"/>
    <s v="Gift Card"/>
    <n v="8"/>
    <s v="Referral"/>
    <n v="1723.32"/>
  </r>
  <r>
    <s v="ORD200177"/>
    <s v="C55632"/>
    <x v="3"/>
    <n v="5"/>
    <x v="177"/>
    <s v="354 Main St"/>
    <s v="Credit Card"/>
    <n v="10"/>
    <s v="Facebook"/>
    <n v="2158.4499999999998"/>
  </r>
  <r>
    <s v="ORD200178"/>
    <s v="C53070"/>
    <x v="3"/>
    <n v="4"/>
    <x v="178"/>
    <s v="283 Main St"/>
    <s v="Online"/>
    <n v="5"/>
    <s v="Google"/>
    <n v="2048.2399999999998"/>
  </r>
  <r>
    <s v="ORD200179"/>
    <s v="C27401"/>
    <x v="5"/>
    <n v="3"/>
    <x v="179"/>
    <s v="500 Main St"/>
    <s v="Credit Card"/>
    <n v="8"/>
    <s v="Email"/>
    <n v="1619.73"/>
  </r>
  <r>
    <s v="ORD200180"/>
    <s v="C87216"/>
    <x v="2"/>
    <n v="5"/>
    <x v="180"/>
    <s v="970 Main St"/>
    <s v="Cash"/>
    <n v="10"/>
    <s v="Google"/>
    <n v="1580.35"/>
  </r>
  <r>
    <s v="ORD200181"/>
    <s v="C38966"/>
    <x v="4"/>
    <n v="5"/>
    <x v="181"/>
    <s v="247 Main St"/>
    <s v="Online"/>
    <n v="10"/>
    <s v="Referral"/>
    <n v="2021.95"/>
  </r>
  <r>
    <s v="ORD200182"/>
    <s v="C16612"/>
    <x v="6"/>
    <n v="1"/>
    <x v="182"/>
    <s v="596 Main St"/>
    <s v="Debit Card"/>
    <n v="4"/>
    <s v="Google"/>
    <n v="600.54"/>
  </r>
  <r>
    <s v="ORD200183"/>
    <s v="C39246"/>
    <x v="0"/>
    <n v="5"/>
    <x v="183"/>
    <s v="258 Main St"/>
    <s v="Debit Card"/>
    <n v="8"/>
    <s v="Email"/>
    <n v="931.4"/>
  </r>
  <r>
    <s v="ORD200184"/>
    <s v="C65180"/>
    <x v="2"/>
    <n v="4"/>
    <x v="184"/>
    <s v="231 Main St"/>
    <s v="Gift Card"/>
    <n v="7"/>
    <s v="Referral"/>
    <n v="858.16"/>
  </r>
  <r>
    <s v="ORD200185"/>
    <s v="C46877"/>
    <x v="5"/>
    <n v="1"/>
    <x v="185"/>
    <s v="572 Main St"/>
    <s v="Online"/>
    <n v="2"/>
    <s v="Referral"/>
    <n v="210.7"/>
  </r>
  <r>
    <s v="ORD200186"/>
    <s v="C30334"/>
    <x v="1"/>
    <n v="2"/>
    <x v="186"/>
    <s v="322 Main St"/>
    <s v="Cash"/>
    <n v="7"/>
    <s v="Facebook"/>
    <n v="267.10000000000002"/>
  </r>
  <r>
    <s v="ORD200187"/>
    <s v="C21227"/>
    <x v="3"/>
    <n v="1"/>
    <x v="187"/>
    <s v="689 Main St"/>
    <s v="Gift Card"/>
    <n v="6"/>
    <s v="Referral"/>
    <n v="590.87"/>
  </r>
  <r>
    <s v="ORD200188"/>
    <s v="C97715"/>
    <x v="3"/>
    <n v="2"/>
    <x v="188"/>
    <s v="927 Main St"/>
    <s v="Gift Card"/>
    <n v="2"/>
    <s v="Referral"/>
    <n v="727.82"/>
  </r>
  <r>
    <s v="ORD200189"/>
    <s v="C48939"/>
    <x v="4"/>
    <n v="5"/>
    <x v="189"/>
    <s v="597 Main St"/>
    <s v="Gift Card"/>
    <n v="5"/>
    <s v="Email"/>
    <n v="2147.25"/>
  </r>
  <r>
    <s v="ORD200190"/>
    <s v="C35483"/>
    <x v="4"/>
    <n v="3"/>
    <x v="190"/>
    <s v="725 Main St"/>
    <s v="Cash"/>
    <n v="3"/>
    <s v="Email"/>
    <n v="671.09999999999991"/>
  </r>
  <r>
    <s v="ORD200191"/>
    <s v="C51494"/>
    <x v="5"/>
    <n v="2"/>
    <x v="191"/>
    <s v="505 Main St"/>
    <s v="Online"/>
    <n v="4"/>
    <s v="Google"/>
    <n v="977.74"/>
  </r>
  <r>
    <s v="ORD200192"/>
    <s v="C58410"/>
    <x v="6"/>
    <n v="1"/>
    <x v="192"/>
    <s v="151 Main St"/>
    <s v="Gift Card"/>
    <n v="5"/>
    <s v="Google"/>
    <n v="645.46"/>
  </r>
  <r>
    <s v="ORD200193"/>
    <s v="C11644"/>
    <x v="4"/>
    <n v="1"/>
    <x v="193"/>
    <s v="429 Main St"/>
    <s v="Cash"/>
    <n v="6"/>
    <s v="Google"/>
    <n v="46.66"/>
  </r>
  <r>
    <s v="ORD200194"/>
    <s v="C53501"/>
    <x v="0"/>
    <n v="1"/>
    <x v="194"/>
    <s v="899 Main St"/>
    <s v="Cash"/>
    <n v="3"/>
    <s v="Google"/>
    <n v="249.57"/>
  </r>
  <r>
    <s v="ORD200195"/>
    <s v="C63619"/>
    <x v="3"/>
    <n v="3"/>
    <x v="195"/>
    <s v="801 Main St"/>
    <s v="Debit Card"/>
    <n v="6"/>
    <s v="Email"/>
    <n v="1857.63"/>
  </r>
  <r>
    <s v="ORD200196"/>
    <s v="C40882"/>
    <x v="6"/>
    <n v="4"/>
    <x v="196"/>
    <s v="719 Main St"/>
    <s v="Cash"/>
    <n v="8"/>
    <s v="Email"/>
    <n v="868.52"/>
  </r>
  <r>
    <s v="ORD200197"/>
    <s v="C80135"/>
    <x v="5"/>
    <n v="5"/>
    <x v="197"/>
    <s v="723 Main St"/>
    <s v="Cash"/>
    <n v="5"/>
    <s v="Referral"/>
    <n v="1107.55"/>
  </r>
  <r>
    <s v="ORD200198"/>
    <s v="C37594"/>
    <x v="5"/>
    <n v="4"/>
    <x v="198"/>
    <s v="926 Main St"/>
    <s v="Cash"/>
    <n v="8"/>
    <s v="Referral"/>
    <n v="1361.2"/>
  </r>
  <r>
    <s v="ORD200199"/>
    <s v="C87524"/>
    <x v="1"/>
    <n v="1"/>
    <x v="199"/>
    <s v="358 Main St"/>
    <s v="Online"/>
    <n v="5"/>
    <s v="Google"/>
    <n v="625"/>
  </r>
  <r>
    <s v="ORD200200"/>
    <s v="C97681"/>
    <x v="2"/>
    <n v="5"/>
    <x v="200"/>
    <s v="895 Main St"/>
    <s v="Credit Card"/>
    <n v="9"/>
    <s v="Google"/>
    <n v="2166.3000000000002"/>
  </r>
  <r>
    <s v="ORD200201"/>
    <s v="C10126"/>
    <x v="0"/>
    <n v="2"/>
    <x v="201"/>
    <s v="146 Main St"/>
    <s v="Online"/>
    <n v="4"/>
    <s v="Facebook"/>
    <n v="1349.8"/>
  </r>
  <r>
    <s v="ORD200202"/>
    <s v="C36938"/>
    <x v="0"/>
    <n v="3"/>
    <x v="202"/>
    <s v="636 Main St"/>
    <s v="Credit Card"/>
    <n v="3"/>
    <s v="Email"/>
    <n v="761.93999999999994"/>
  </r>
  <r>
    <s v="ORD200203"/>
    <s v="C99173"/>
    <x v="4"/>
    <n v="3"/>
    <x v="203"/>
    <s v="172 Main St"/>
    <s v="Online"/>
    <n v="5"/>
    <s v="Instagram"/>
    <n v="1070.52"/>
  </r>
  <r>
    <s v="ORD200204"/>
    <s v="C99775"/>
    <x v="5"/>
    <n v="4"/>
    <x v="204"/>
    <s v="478 Main St"/>
    <s v="Gift Card"/>
    <n v="9"/>
    <s v="Facebook"/>
    <n v="1654.84"/>
  </r>
  <r>
    <s v="ORD200205"/>
    <s v="C19266"/>
    <x v="6"/>
    <n v="3"/>
    <x v="205"/>
    <s v="609 Main St"/>
    <s v="Debit Card"/>
    <n v="3"/>
    <s v="Email"/>
    <n v="442.17"/>
  </r>
  <r>
    <s v="ORD200206"/>
    <s v="C31072"/>
    <x v="5"/>
    <n v="4"/>
    <x v="206"/>
    <s v="729 Main St"/>
    <s v="Gift Card"/>
    <n v="8"/>
    <s v="Email"/>
    <n v="916.4"/>
  </r>
  <r>
    <s v="ORD200207"/>
    <s v="C54595"/>
    <x v="1"/>
    <n v="1"/>
    <x v="207"/>
    <s v="999 Main St"/>
    <s v="Debit Card"/>
    <n v="3"/>
    <s v="Google"/>
    <n v="121.96"/>
  </r>
  <r>
    <s v="ORD200208"/>
    <s v="C87777"/>
    <x v="6"/>
    <n v="2"/>
    <x v="208"/>
    <s v="597 Main St"/>
    <s v="Online"/>
    <n v="3"/>
    <s v="Facebook"/>
    <n v="816.64"/>
  </r>
  <r>
    <s v="ORD200209"/>
    <s v="C35854"/>
    <x v="2"/>
    <n v="5"/>
    <x v="209"/>
    <s v="706 Main St"/>
    <s v="Cash"/>
    <n v="9"/>
    <s v="Google"/>
    <n v="939.85"/>
  </r>
  <r>
    <s v="ORD200210"/>
    <s v="C93821"/>
    <x v="3"/>
    <n v="3"/>
    <x v="210"/>
    <s v="513 Main St"/>
    <s v="Gift Card"/>
    <n v="7"/>
    <s v="Facebook"/>
    <n v="1075.44"/>
  </r>
  <r>
    <s v="ORD200211"/>
    <s v="C54390"/>
    <x v="4"/>
    <n v="3"/>
    <x v="211"/>
    <s v="185 Main St"/>
    <s v="Gift Card"/>
    <n v="7"/>
    <s v="Email"/>
    <n v="580.74"/>
  </r>
  <r>
    <s v="ORD200212"/>
    <s v="C53215"/>
    <x v="0"/>
    <n v="1"/>
    <x v="212"/>
    <s v="367 Main St"/>
    <s v="Credit Card"/>
    <n v="6"/>
    <s v="Email"/>
    <n v="265.38"/>
  </r>
  <r>
    <s v="ORD200213"/>
    <s v="C71122"/>
    <x v="5"/>
    <n v="1"/>
    <x v="213"/>
    <s v="317 Main St"/>
    <s v="Cash"/>
    <n v="6"/>
    <s v="Email"/>
    <n v="634.4"/>
  </r>
  <r>
    <s v="ORD200214"/>
    <s v="C29483"/>
    <x v="6"/>
    <n v="4"/>
    <x v="214"/>
    <s v="673 Main St"/>
    <s v="Online"/>
    <n v="5"/>
    <s v="Facebook"/>
    <n v="1222.8800000000001"/>
  </r>
  <r>
    <s v="ORD200215"/>
    <s v="C26767"/>
    <x v="4"/>
    <n v="1"/>
    <x v="215"/>
    <s v="432 Main St"/>
    <s v="Cash"/>
    <n v="5"/>
    <s v="Facebook"/>
    <n v="303.60000000000002"/>
  </r>
  <r>
    <s v="ORD200216"/>
    <s v="C70492"/>
    <x v="0"/>
    <n v="4"/>
    <x v="216"/>
    <s v="811 Main St"/>
    <s v="Online"/>
    <n v="8"/>
    <s v="Google"/>
    <n v="1984"/>
  </r>
  <r>
    <s v="ORD200217"/>
    <s v="C61549"/>
    <x v="6"/>
    <n v="4"/>
    <x v="217"/>
    <s v="908 Main St"/>
    <s v="Cash"/>
    <n v="9"/>
    <s v="Google"/>
    <n v="1286.04"/>
  </r>
  <r>
    <s v="ORD200218"/>
    <s v="C11665"/>
    <x v="2"/>
    <n v="3"/>
    <x v="218"/>
    <s v="882 Main St"/>
    <s v="Gift Card"/>
    <n v="6"/>
    <s v="Instagram"/>
    <n v="337.38"/>
  </r>
  <r>
    <s v="ORD200219"/>
    <s v="C48946"/>
    <x v="5"/>
    <n v="5"/>
    <x v="219"/>
    <s v="457 Main St"/>
    <s v="Cash"/>
    <n v="6"/>
    <s v="Email"/>
    <n v="309.85000000000002"/>
  </r>
  <r>
    <s v="ORD200220"/>
    <s v="C79506"/>
    <x v="5"/>
    <n v="2"/>
    <x v="220"/>
    <s v="497 Main St"/>
    <s v="Credit Card"/>
    <n v="6"/>
    <s v="Referral"/>
    <n v="746.34"/>
  </r>
  <r>
    <s v="ORD200221"/>
    <s v="C93473"/>
    <x v="2"/>
    <n v="5"/>
    <x v="221"/>
    <s v="552 Main St"/>
    <s v="Debit Card"/>
    <n v="6"/>
    <s v="Google"/>
    <n v="3196.85"/>
  </r>
  <r>
    <s v="ORD200222"/>
    <s v="C43124"/>
    <x v="3"/>
    <n v="4"/>
    <x v="222"/>
    <s v="931 Main St"/>
    <s v="Online"/>
    <n v="8"/>
    <s v="Instagram"/>
    <n v="2773.44"/>
  </r>
  <r>
    <s v="ORD200223"/>
    <s v="C22783"/>
    <x v="1"/>
    <n v="4"/>
    <x v="223"/>
    <s v="673 Main St"/>
    <s v="Credit Card"/>
    <n v="9"/>
    <s v="Instagram"/>
    <n v="2771.64"/>
  </r>
  <r>
    <s v="ORD200224"/>
    <s v="C18567"/>
    <x v="4"/>
    <n v="4"/>
    <x v="224"/>
    <s v="507 Main St"/>
    <s v="Cash"/>
    <n v="9"/>
    <s v="Referral"/>
    <n v="365.84"/>
  </r>
  <r>
    <s v="ORD200225"/>
    <s v="C99879"/>
    <x v="1"/>
    <n v="3"/>
    <x v="225"/>
    <s v="692 Main St"/>
    <s v="Debit Card"/>
    <n v="8"/>
    <s v="Google"/>
    <n v="821.87999999999988"/>
  </r>
  <r>
    <s v="ORD200226"/>
    <s v="C31501"/>
    <x v="6"/>
    <n v="3"/>
    <x v="226"/>
    <s v="242 Main St"/>
    <s v="Gift Card"/>
    <n v="8"/>
    <s v="Instagram"/>
    <n v="1764.15"/>
  </r>
  <r>
    <s v="ORD200227"/>
    <s v="C93220"/>
    <x v="0"/>
    <n v="2"/>
    <x v="227"/>
    <s v="353 Main St"/>
    <s v="Online"/>
    <n v="4"/>
    <s v="Facebook"/>
    <n v="730.34"/>
  </r>
  <r>
    <s v="ORD200228"/>
    <s v="C57867"/>
    <x v="3"/>
    <n v="4"/>
    <x v="228"/>
    <s v="579 Main St"/>
    <s v="Credit Card"/>
    <n v="8"/>
    <s v="Instagram"/>
    <n v="1543.68"/>
  </r>
  <r>
    <s v="ORD200229"/>
    <s v="C62622"/>
    <x v="2"/>
    <n v="1"/>
    <x v="229"/>
    <s v="762 Main St"/>
    <s v="Credit Card"/>
    <n v="3"/>
    <s v="Facebook"/>
    <n v="562.61"/>
  </r>
  <r>
    <s v="ORD200230"/>
    <s v="C94595"/>
    <x v="6"/>
    <n v="4"/>
    <x v="230"/>
    <s v="948 Main St"/>
    <s v="Gift Card"/>
    <n v="6"/>
    <s v="Email"/>
    <n v="247.64"/>
  </r>
  <r>
    <s v="ORD200231"/>
    <s v="C30955"/>
    <x v="1"/>
    <n v="4"/>
    <x v="231"/>
    <s v="327 Main St"/>
    <s v="Gift Card"/>
    <n v="9"/>
    <s v="Instagram"/>
    <n v="167.6"/>
  </r>
  <r>
    <s v="ORD200232"/>
    <s v="C20731"/>
    <x v="4"/>
    <n v="4"/>
    <x v="232"/>
    <s v="610 Main St"/>
    <s v="Debit Card"/>
    <n v="8"/>
    <s v="Google"/>
    <n v="1777.76"/>
  </r>
  <r>
    <s v="ORD200233"/>
    <s v="C30168"/>
    <x v="1"/>
    <n v="3"/>
    <x v="233"/>
    <s v="146 Main St"/>
    <s v="Cash"/>
    <n v="3"/>
    <s v="Instagram"/>
    <n v="933.99"/>
  </r>
  <r>
    <s v="ORD200234"/>
    <s v="C79842"/>
    <x v="4"/>
    <n v="4"/>
    <x v="234"/>
    <s v="337 Main St"/>
    <s v="Debit Card"/>
    <n v="7"/>
    <s v="Google"/>
    <n v="945.64"/>
  </r>
  <r>
    <s v="ORD200235"/>
    <s v="C32854"/>
    <x v="6"/>
    <n v="1"/>
    <x v="235"/>
    <s v="815 Main St"/>
    <s v="Cash"/>
    <n v="2"/>
    <s v="Google"/>
    <n v="65.45"/>
  </r>
  <r>
    <s v="ORD200236"/>
    <s v="C14847"/>
    <x v="0"/>
    <n v="1"/>
    <x v="236"/>
    <s v="562 Main St"/>
    <s v="Debit Card"/>
    <n v="3"/>
    <s v="Email"/>
    <n v="318.81"/>
  </r>
  <r>
    <s v="ORD200237"/>
    <s v="C88645"/>
    <x v="0"/>
    <n v="3"/>
    <x v="237"/>
    <s v="783 Main St"/>
    <s v="Credit Card"/>
    <n v="5"/>
    <s v="Facebook"/>
    <n v="1751.16"/>
  </r>
  <r>
    <s v="ORD200238"/>
    <s v="C66149"/>
    <x v="6"/>
    <n v="4"/>
    <x v="238"/>
    <s v="770 Main St"/>
    <s v="Credit Card"/>
    <n v="6"/>
    <s v="Google"/>
    <n v="1537.28"/>
  </r>
  <r>
    <s v="ORD200239"/>
    <s v="C20256"/>
    <x v="2"/>
    <n v="3"/>
    <x v="239"/>
    <s v="456 Main St"/>
    <s v="Online"/>
    <n v="6"/>
    <s v="Email"/>
    <n v="1616.22"/>
  </r>
  <r>
    <s v="ORD200240"/>
    <s v="C14983"/>
    <x v="2"/>
    <n v="1"/>
    <x v="240"/>
    <s v="255 Main St"/>
    <s v="Online"/>
    <n v="2"/>
    <s v="Instagram"/>
    <n v="17.239999999999998"/>
  </r>
  <r>
    <s v="ORD200241"/>
    <s v="C20817"/>
    <x v="3"/>
    <n v="5"/>
    <x v="241"/>
    <s v="407 Main St"/>
    <s v="Online"/>
    <n v="6"/>
    <s v="Email"/>
    <n v="3078.35"/>
  </r>
  <r>
    <s v="ORD200242"/>
    <s v="C94921"/>
    <x v="4"/>
    <n v="2"/>
    <x v="242"/>
    <s v="134 Main St"/>
    <s v="Online"/>
    <n v="4"/>
    <s v="Referral"/>
    <n v="438.2"/>
  </r>
  <r>
    <s v="ORD200243"/>
    <s v="C54725"/>
    <x v="3"/>
    <n v="2"/>
    <x v="243"/>
    <s v="506 Main St"/>
    <s v="Online"/>
    <n v="7"/>
    <s v="Google"/>
    <n v="289.32"/>
  </r>
  <r>
    <s v="ORD200244"/>
    <s v="C98096"/>
    <x v="6"/>
    <n v="2"/>
    <x v="244"/>
    <s v="838 Main St"/>
    <s v="Debit Card"/>
    <n v="4"/>
    <s v="Facebook"/>
    <n v="635.54"/>
  </r>
  <r>
    <s v="ORD200245"/>
    <s v="C12667"/>
    <x v="5"/>
    <n v="1"/>
    <x v="245"/>
    <s v="306 Main St"/>
    <s v="Online"/>
    <n v="1"/>
    <s v="Facebook"/>
    <n v="223.3"/>
  </r>
  <r>
    <s v="ORD200246"/>
    <s v="C55354"/>
    <x v="6"/>
    <n v="2"/>
    <x v="246"/>
    <s v="164 Main St"/>
    <s v="Gift Card"/>
    <n v="2"/>
    <s v="Instagram"/>
    <n v="684.22"/>
  </r>
  <r>
    <s v="ORD200247"/>
    <s v="C14600"/>
    <x v="4"/>
    <n v="2"/>
    <x v="247"/>
    <s v="785 Main St"/>
    <s v="Gift Card"/>
    <n v="4"/>
    <s v="Email"/>
    <n v="441.8"/>
  </r>
  <r>
    <s v="ORD200248"/>
    <s v="C97187"/>
    <x v="5"/>
    <n v="1"/>
    <x v="248"/>
    <s v="471 Main St"/>
    <s v="Cash"/>
    <n v="6"/>
    <s v="Referral"/>
    <n v="670.54"/>
  </r>
  <r>
    <s v="ORD200249"/>
    <s v="C39106"/>
    <x v="4"/>
    <n v="1"/>
    <x v="249"/>
    <s v="245 Main St"/>
    <s v="Cash"/>
    <n v="5"/>
    <s v="Referral"/>
    <n v="546.19000000000005"/>
  </r>
  <r>
    <s v="ORD200250"/>
    <s v="C93379"/>
    <x v="6"/>
    <n v="3"/>
    <x v="250"/>
    <s v="318 Main St"/>
    <s v="Gift Card"/>
    <n v="8"/>
    <s v="Email"/>
    <n v="128.85"/>
  </r>
  <r>
    <s v="ORD200251"/>
    <s v="C93175"/>
    <x v="0"/>
    <n v="4"/>
    <x v="251"/>
    <s v="814 Main St"/>
    <s v="Cash"/>
    <n v="9"/>
    <s v="Email"/>
    <n v="58.76"/>
  </r>
  <r>
    <s v="ORD200252"/>
    <s v="C19648"/>
    <x v="1"/>
    <n v="4"/>
    <x v="252"/>
    <s v="821 Main St"/>
    <s v="Gift Card"/>
    <n v="5"/>
    <s v="Facebook"/>
    <n v="2673.44"/>
  </r>
  <r>
    <s v="ORD200253"/>
    <s v="C14891"/>
    <x v="3"/>
    <n v="4"/>
    <x v="253"/>
    <s v="743 Main St"/>
    <s v="Gift Card"/>
    <n v="7"/>
    <s v="Instagram"/>
    <n v="1654.96"/>
  </r>
  <r>
    <s v="ORD200254"/>
    <s v="C10866"/>
    <x v="0"/>
    <n v="3"/>
    <x v="254"/>
    <s v="770 Main St"/>
    <s v="Online"/>
    <n v="5"/>
    <s v="Instagram"/>
    <n v="789.56999999999994"/>
  </r>
  <r>
    <s v="ORD200255"/>
    <s v="C47283"/>
    <x v="0"/>
    <n v="1"/>
    <x v="255"/>
    <s v="806 Main St"/>
    <s v="Gift Card"/>
    <n v="2"/>
    <s v="Google"/>
    <n v="263.95999999999998"/>
  </r>
  <r>
    <s v="ORD200256"/>
    <s v="C94323"/>
    <x v="3"/>
    <n v="5"/>
    <x v="256"/>
    <s v="463 Main St"/>
    <s v="Gift Card"/>
    <n v="10"/>
    <s v="Instagram"/>
    <n v="379.05"/>
  </r>
  <r>
    <s v="ORD200257"/>
    <s v="C89732"/>
    <x v="1"/>
    <n v="1"/>
    <x v="257"/>
    <s v="712 Main St"/>
    <s v="Credit Card"/>
    <n v="5"/>
    <s v="Referral"/>
    <n v="406.22"/>
  </r>
  <r>
    <s v="ORD200258"/>
    <s v="C87764"/>
    <x v="2"/>
    <n v="2"/>
    <x v="258"/>
    <s v="294 Main St"/>
    <s v="Online"/>
    <n v="2"/>
    <s v="Referral"/>
    <n v="206.82"/>
  </r>
  <r>
    <s v="ORD200259"/>
    <s v="C20977"/>
    <x v="3"/>
    <n v="4"/>
    <x v="259"/>
    <s v="636 Main St"/>
    <s v="Credit Card"/>
    <n v="9"/>
    <s v="Instagram"/>
    <n v="1740.48"/>
  </r>
  <r>
    <s v="ORD200260"/>
    <s v="C12245"/>
    <x v="0"/>
    <n v="2"/>
    <x v="260"/>
    <s v="153 Main St"/>
    <s v="Debit Card"/>
    <n v="3"/>
    <s v="Google"/>
    <n v="815.58"/>
  </r>
  <r>
    <s v="ORD200261"/>
    <s v="C68976"/>
    <x v="1"/>
    <n v="5"/>
    <x v="261"/>
    <s v="460 Main St"/>
    <s v="Gift Card"/>
    <n v="9"/>
    <s v="Email"/>
    <n v="868.25"/>
  </r>
  <r>
    <s v="ORD200262"/>
    <s v="C69476"/>
    <x v="1"/>
    <n v="4"/>
    <x v="262"/>
    <s v="642 Main St"/>
    <s v="Credit Card"/>
    <n v="5"/>
    <s v="Referral"/>
    <n v="996.28"/>
  </r>
  <r>
    <s v="ORD200263"/>
    <s v="C71040"/>
    <x v="1"/>
    <n v="4"/>
    <x v="263"/>
    <s v="250 Main St"/>
    <s v="Credit Card"/>
    <n v="4"/>
    <s v="Google"/>
    <n v="1739.4"/>
  </r>
  <r>
    <s v="ORD200264"/>
    <s v="C71035"/>
    <x v="2"/>
    <n v="1"/>
    <x v="264"/>
    <s v="977 Main St"/>
    <s v="Cash"/>
    <n v="5"/>
    <s v="Google"/>
    <n v="436.77"/>
  </r>
  <r>
    <s v="ORD200265"/>
    <s v="C20752"/>
    <x v="4"/>
    <n v="1"/>
    <x v="265"/>
    <s v="150 Main St"/>
    <s v="Debit Card"/>
    <n v="4"/>
    <s v="Google"/>
    <n v="572.13"/>
  </r>
  <r>
    <s v="ORD200266"/>
    <s v="C38840"/>
    <x v="3"/>
    <n v="4"/>
    <x v="266"/>
    <s v="589 Main St"/>
    <s v="Credit Card"/>
    <n v="6"/>
    <s v="Referral"/>
    <n v="2332.2800000000002"/>
  </r>
  <r>
    <s v="ORD200267"/>
    <s v="C84480"/>
    <x v="3"/>
    <n v="5"/>
    <x v="267"/>
    <s v="803 Main St"/>
    <s v="Debit Card"/>
    <n v="9"/>
    <s v="Facebook"/>
    <n v="2342.5500000000002"/>
  </r>
  <r>
    <s v="ORD200268"/>
    <s v="C37032"/>
    <x v="1"/>
    <n v="2"/>
    <x v="268"/>
    <s v="655 Main St"/>
    <s v="Debit Card"/>
    <n v="7"/>
    <s v="Referral"/>
    <n v="847.76"/>
  </r>
  <r>
    <s v="ORD200269"/>
    <s v="C48942"/>
    <x v="2"/>
    <n v="4"/>
    <x v="269"/>
    <s v="129 Main St"/>
    <s v="Credit Card"/>
    <n v="7"/>
    <s v="Google"/>
    <n v="2654.68"/>
  </r>
  <r>
    <s v="ORD200270"/>
    <s v="C13540"/>
    <x v="4"/>
    <n v="4"/>
    <x v="270"/>
    <s v="127 Main St"/>
    <s v="Debit Card"/>
    <n v="5"/>
    <s v="Google"/>
    <n v="1239.6400000000001"/>
  </r>
  <r>
    <s v="ORD200271"/>
    <s v="C59572"/>
    <x v="0"/>
    <n v="1"/>
    <x v="271"/>
    <s v="791 Main St"/>
    <s v="Cash"/>
    <n v="6"/>
    <s v="Referral"/>
    <n v="542.07000000000005"/>
  </r>
  <r>
    <s v="ORD200272"/>
    <s v="C29758"/>
    <x v="3"/>
    <n v="2"/>
    <x v="272"/>
    <s v="119 Main St"/>
    <s v="Online"/>
    <n v="6"/>
    <s v="Instagram"/>
    <n v="798.64"/>
  </r>
  <r>
    <s v="ORD200273"/>
    <s v="C11849"/>
    <x v="2"/>
    <n v="2"/>
    <x v="273"/>
    <s v="974 Main St"/>
    <s v="Online"/>
    <n v="7"/>
    <s v="Email"/>
    <n v="476.5"/>
  </r>
  <r>
    <s v="ORD200274"/>
    <s v="C50967"/>
    <x v="1"/>
    <n v="2"/>
    <x v="274"/>
    <s v="884 Main St"/>
    <s v="Gift Card"/>
    <n v="5"/>
    <s v="Referral"/>
    <n v="364.8"/>
  </r>
  <r>
    <s v="ORD200275"/>
    <s v="C80735"/>
    <x v="3"/>
    <n v="2"/>
    <x v="275"/>
    <s v="360 Main St"/>
    <s v="Credit Card"/>
    <n v="4"/>
    <s v="Google"/>
    <n v="130.13999999999999"/>
  </r>
  <r>
    <s v="ORD200276"/>
    <s v="C99050"/>
    <x v="4"/>
    <n v="2"/>
    <x v="276"/>
    <s v="654 Main St"/>
    <s v="Debit Card"/>
    <n v="3"/>
    <s v="Instagram"/>
    <n v="1201.1400000000001"/>
  </r>
  <r>
    <s v="ORD200277"/>
    <s v="C11210"/>
    <x v="3"/>
    <n v="5"/>
    <x v="277"/>
    <s v="910 Main St"/>
    <s v="Credit Card"/>
    <n v="9"/>
    <s v="Facebook"/>
    <n v="454.6"/>
  </r>
  <r>
    <s v="ORD200278"/>
    <s v="C46015"/>
    <x v="5"/>
    <n v="5"/>
    <x v="278"/>
    <s v="299 Main St"/>
    <s v="Cash"/>
    <n v="6"/>
    <s v="Instagram"/>
    <n v="1812.3"/>
  </r>
  <r>
    <s v="ORD200279"/>
    <s v="C69167"/>
    <x v="3"/>
    <n v="3"/>
    <x v="279"/>
    <s v="263 Main St"/>
    <s v="Online"/>
    <n v="7"/>
    <s v="Email"/>
    <n v="165.03"/>
  </r>
  <r>
    <s v="ORD200280"/>
    <s v="C55388"/>
    <x v="2"/>
    <n v="3"/>
    <x v="280"/>
    <s v="740 Main St"/>
    <s v="Gift Card"/>
    <n v="6"/>
    <s v="Instagram"/>
    <n v="1213.8599999999999"/>
  </r>
  <r>
    <s v="ORD200281"/>
    <s v="C87181"/>
    <x v="6"/>
    <n v="4"/>
    <x v="281"/>
    <s v="195 Main St"/>
    <s v="Cash"/>
    <n v="9"/>
    <s v="Referral"/>
    <n v="2619.16"/>
  </r>
  <r>
    <s v="ORD200282"/>
    <s v="C30411"/>
    <x v="4"/>
    <n v="4"/>
    <x v="282"/>
    <s v="375 Main St"/>
    <s v="Gift Card"/>
    <n v="9"/>
    <s v="Google"/>
    <n v="2551.16"/>
  </r>
  <r>
    <s v="ORD200283"/>
    <s v="C39638"/>
    <x v="5"/>
    <n v="4"/>
    <x v="283"/>
    <s v="990 Main St"/>
    <s v="Cash"/>
    <n v="6"/>
    <s v="Google"/>
    <n v="2161.3200000000002"/>
  </r>
  <r>
    <s v="ORD200284"/>
    <s v="C27203"/>
    <x v="5"/>
    <n v="5"/>
    <x v="284"/>
    <s v="516 Main St"/>
    <s v="Credit Card"/>
    <n v="6"/>
    <s v="Facebook"/>
    <n v="1040.8499999999999"/>
  </r>
  <r>
    <s v="ORD200285"/>
    <s v="C67583"/>
    <x v="1"/>
    <n v="1"/>
    <x v="285"/>
    <s v="974 Main St"/>
    <s v="Online"/>
    <n v="3"/>
    <s v="Google"/>
    <n v="338.31"/>
  </r>
  <r>
    <s v="ORD200286"/>
    <s v="C70554"/>
    <x v="0"/>
    <n v="3"/>
    <x v="286"/>
    <s v="187 Main St"/>
    <s v="Gift Card"/>
    <n v="8"/>
    <s v="Google"/>
    <n v="418.35"/>
  </r>
  <r>
    <s v="ORD200287"/>
    <s v="C70437"/>
    <x v="3"/>
    <n v="4"/>
    <x v="287"/>
    <s v="630 Main St"/>
    <s v="Online"/>
    <n v="5"/>
    <s v="Facebook"/>
    <n v="2620.7199999999998"/>
  </r>
  <r>
    <s v="ORD200288"/>
    <s v="C97643"/>
    <x v="5"/>
    <n v="4"/>
    <x v="288"/>
    <s v="537 Main St"/>
    <s v="Debit Card"/>
    <n v="8"/>
    <s v="Google"/>
    <n v="2051"/>
  </r>
  <r>
    <s v="ORD200289"/>
    <s v="C17136"/>
    <x v="3"/>
    <n v="4"/>
    <x v="289"/>
    <s v="333 Main St"/>
    <s v="Credit Card"/>
    <n v="8"/>
    <s v="Referral"/>
    <n v="641.96"/>
  </r>
  <r>
    <s v="ORD200290"/>
    <s v="C24901"/>
    <x v="3"/>
    <n v="3"/>
    <x v="290"/>
    <s v="258 Main St"/>
    <s v="Cash"/>
    <n v="8"/>
    <s v="Facebook"/>
    <n v="299.7"/>
  </r>
  <r>
    <s v="ORD200291"/>
    <s v="C61521"/>
    <x v="1"/>
    <n v="2"/>
    <x v="291"/>
    <s v="670 Main St"/>
    <s v="Credit Card"/>
    <n v="6"/>
    <s v="Google"/>
    <n v="690.02"/>
  </r>
  <r>
    <s v="ORD200292"/>
    <s v="C39639"/>
    <x v="0"/>
    <n v="1"/>
    <x v="292"/>
    <s v="185 Main St"/>
    <s v="Credit Card"/>
    <n v="5"/>
    <s v="Facebook"/>
    <n v="65.95"/>
  </r>
  <r>
    <s v="ORD200293"/>
    <s v="C33220"/>
    <x v="2"/>
    <n v="4"/>
    <x v="293"/>
    <s v="564 Main St"/>
    <s v="Gift Card"/>
    <n v="9"/>
    <s v="Instagram"/>
    <n v="1852.16"/>
  </r>
  <r>
    <s v="ORD200294"/>
    <s v="C65414"/>
    <x v="1"/>
    <n v="2"/>
    <x v="294"/>
    <s v="208 Main St"/>
    <s v="Online"/>
    <n v="7"/>
    <s v="Referral"/>
    <n v="595.41999999999996"/>
  </r>
  <r>
    <s v="ORD200295"/>
    <s v="C49009"/>
    <x v="4"/>
    <n v="5"/>
    <x v="295"/>
    <s v="278 Main St"/>
    <s v="Debit Card"/>
    <n v="9"/>
    <s v="Email"/>
    <n v="537.4"/>
  </r>
  <r>
    <s v="ORD200296"/>
    <s v="C48453"/>
    <x v="6"/>
    <n v="5"/>
    <x v="296"/>
    <s v="434 Main St"/>
    <s v="Debit Card"/>
    <n v="10"/>
    <s v="Referral"/>
    <n v="3194"/>
  </r>
  <r>
    <s v="ORD200297"/>
    <s v="C68078"/>
    <x v="6"/>
    <n v="2"/>
    <x v="297"/>
    <s v="252 Main St"/>
    <s v="Credit Card"/>
    <n v="7"/>
    <s v="Instagram"/>
    <n v="987.76"/>
  </r>
  <r>
    <s v="ORD200298"/>
    <s v="C19402"/>
    <x v="4"/>
    <n v="4"/>
    <x v="298"/>
    <s v="267 Main St"/>
    <s v="Online"/>
    <n v="6"/>
    <s v="Email"/>
    <n v="1204.68"/>
  </r>
  <r>
    <s v="ORD200299"/>
    <s v="C30711"/>
    <x v="0"/>
    <n v="1"/>
    <x v="299"/>
    <s v="856 Main St"/>
    <s v="Gift Card"/>
    <n v="2"/>
    <s v="Instagram"/>
    <n v="278.66000000000003"/>
  </r>
  <r>
    <s v="ORD200300"/>
    <s v="C39000"/>
    <x v="1"/>
    <n v="1"/>
    <x v="300"/>
    <s v="894 Main St"/>
    <s v="Debit Card"/>
    <n v="3"/>
    <s v="Facebook"/>
    <n v="287.45999999999998"/>
  </r>
  <r>
    <s v="ORD200301"/>
    <s v="C31105"/>
    <x v="3"/>
    <n v="1"/>
    <x v="301"/>
    <s v="726 Main St"/>
    <s v="Cash"/>
    <n v="2"/>
    <s v="Email"/>
    <n v="583.99"/>
  </r>
  <r>
    <s v="ORD200302"/>
    <s v="C29432"/>
    <x v="3"/>
    <n v="3"/>
    <x v="302"/>
    <s v="121 Main St"/>
    <s v="Cash"/>
    <n v="4"/>
    <s v="Instagram"/>
    <n v="1406.22"/>
  </r>
  <r>
    <s v="ORD200303"/>
    <s v="C48531"/>
    <x v="2"/>
    <n v="1"/>
    <x v="303"/>
    <s v="368 Main St"/>
    <s v="Debit Card"/>
    <n v="1"/>
    <s v="Google"/>
    <n v="30.54"/>
  </r>
  <r>
    <s v="ORD200304"/>
    <s v="C86762"/>
    <x v="0"/>
    <n v="5"/>
    <x v="304"/>
    <s v="326 Main St"/>
    <s v="Gift Card"/>
    <n v="10"/>
    <s v="Instagram"/>
    <n v="2043.65"/>
  </r>
  <r>
    <s v="ORD200305"/>
    <s v="C63822"/>
    <x v="5"/>
    <n v="4"/>
    <x v="305"/>
    <s v="235 Main St"/>
    <s v="Cash"/>
    <n v="9"/>
    <s v="Instagram"/>
    <n v="507.56"/>
  </r>
  <r>
    <s v="ORD200306"/>
    <s v="C70495"/>
    <x v="4"/>
    <n v="2"/>
    <x v="306"/>
    <s v="238 Main St"/>
    <s v="Debit Card"/>
    <n v="3"/>
    <s v="Instagram"/>
    <n v="114.14"/>
  </r>
  <r>
    <s v="ORD200307"/>
    <s v="C92407"/>
    <x v="5"/>
    <n v="3"/>
    <x v="307"/>
    <s v="135 Main St"/>
    <s v="Online"/>
    <n v="4"/>
    <s v="Email"/>
    <n v="1672.23"/>
  </r>
  <r>
    <s v="ORD200308"/>
    <s v="C75888"/>
    <x v="4"/>
    <n v="3"/>
    <x v="308"/>
    <s v="790 Main St"/>
    <s v="Debit Card"/>
    <n v="7"/>
    <s v="Instagram"/>
    <n v="1346.7"/>
  </r>
  <r>
    <s v="ORD200309"/>
    <s v="C63153"/>
    <x v="3"/>
    <n v="4"/>
    <x v="309"/>
    <s v="625 Main St"/>
    <s v="Debit Card"/>
    <n v="4"/>
    <s v="Facebook"/>
    <n v="2199.04"/>
  </r>
  <r>
    <s v="ORD200310"/>
    <s v="C85863"/>
    <x v="4"/>
    <n v="3"/>
    <x v="310"/>
    <s v="968 Main St"/>
    <s v="Online"/>
    <n v="4"/>
    <s v="Referral"/>
    <n v="397.43999999999988"/>
  </r>
  <r>
    <s v="ORD200311"/>
    <s v="C71698"/>
    <x v="6"/>
    <n v="5"/>
    <x v="311"/>
    <s v="274 Main St"/>
    <s v="Online"/>
    <n v="8"/>
    <s v="Instagram"/>
    <n v="2446.85"/>
  </r>
  <r>
    <s v="ORD200312"/>
    <s v="C35397"/>
    <x v="4"/>
    <n v="5"/>
    <x v="312"/>
    <s v="579 Main St"/>
    <s v="Gift Card"/>
    <n v="7"/>
    <s v="Referral"/>
    <n v="331.55"/>
  </r>
  <r>
    <s v="ORD200313"/>
    <s v="C67687"/>
    <x v="3"/>
    <n v="2"/>
    <x v="313"/>
    <s v="978 Main St"/>
    <s v="Cash"/>
    <n v="7"/>
    <s v="Instagram"/>
    <n v="868.6"/>
  </r>
  <r>
    <s v="ORD200314"/>
    <s v="C29931"/>
    <x v="6"/>
    <n v="4"/>
    <x v="314"/>
    <s v="540 Main St"/>
    <s v="Online"/>
    <n v="4"/>
    <s v="Referral"/>
    <n v="612.36"/>
  </r>
  <r>
    <s v="ORD200315"/>
    <s v="C59139"/>
    <x v="2"/>
    <n v="5"/>
    <x v="315"/>
    <s v="301 Main St"/>
    <s v="Online"/>
    <n v="9"/>
    <s v="Email"/>
    <n v="458.35"/>
  </r>
  <r>
    <s v="ORD200316"/>
    <s v="C66078"/>
    <x v="6"/>
    <n v="4"/>
    <x v="316"/>
    <s v="101 Main St"/>
    <s v="Gift Card"/>
    <n v="9"/>
    <s v="Facebook"/>
    <n v="1101.1199999999999"/>
  </r>
  <r>
    <s v="ORD200317"/>
    <s v="C88370"/>
    <x v="0"/>
    <n v="2"/>
    <x v="317"/>
    <s v="339 Main St"/>
    <s v="Online"/>
    <n v="5"/>
    <s v="Instagram"/>
    <n v="279.89999999999998"/>
  </r>
  <r>
    <s v="ORD200318"/>
    <s v="C93375"/>
    <x v="3"/>
    <n v="3"/>
    <x v="318"/>
    <s v="317 Main St"/>
    <s v="Debit Card"/>
    <n v="7"/>
    <s v="Google"/>
    <n v="446.16"/>
  </r>
  <r>
    <s v="ORD200319"/>
    <s v="C53049"/>
    <x v="5"/>
    <n v="2"/>
    <x v="319"/>
    <s v="413 Main St"/>
    <s v="Cash"/>
    <n v="6"/>
    <s v="Instagram"/>
    <n v="1126.1199999999999"/>
  </r>
  <r>
    <s v="ORD200320"/>
    <s v="C55590"/>
    <x v="4"/>
    <n v="1"/>
    <x v="320"/>
    <s v="772 Main St"/>
    <s v="Credit Card"/>
    <n v="1"/>
    <s v="Facebook"/>
    <n v="625.51"/>
  </r>
  <r>
    <s v="ORD200321"/>
    <s v="C47086"/>
    <x v="1"/>
    <n v="4"/>
    <x v="321"/>
    <s v="135 Main St"/>
    <s v="Debit Card"/>
    <n v="6"/>
    <s v="Google"/>
    <n v="609.16"/>
  </r>
  <r>
    <s v="ORD200322"/>
    <s v="C48646"/>
    <x v="1"/>
    <n v="5"/>
    <x v="322"/>
    <s v="339 Main St"/>
    <s v="Debit Card"/>
    <n v="6"/>
    <s v="Facebook"/>
    <n v="1159.0999999999999"/>
  </r>
  <r>
    <s v="ORD200323"/>
    <s v="C29416"/>
    <x v="5"/>
    <n v="1"/>
    <x v="323"/>
    <s v="414 Main St"/>
    <s v="Debit Card"/>
    <n v="1"/>
    <s v="Referral"/>
    <n v="150.16999999999999"/>
  </r>
  <r>
    <s v="ORD200324"/>
    <s v="C13525"/>
    <x v="2"/>
    <n v="3"/>
    <x v="324"/>
    <s v="847 Main St"/>
    <s v="Debit Card"/>
    <n v="5"/>
    <s v="Referral"/>
    <n v="212.79"/>
  </r>
  <r>
    <s v="ORD200325"/>
    <s v="C53545"/>
    <x v="6"/>
    <n v="3"/>
    <x v="325"/>
    <s v="665 Main St"/>
    <s v="Credit Card"/>
    <n v="8"/>
    <s v="Referral"/>
    <n v="1084.17"/>
  </r>
  <r>
    <s v="ORD200326"/>
    <s v="C65986"/>
    <x v="5"/>
    <n v="5"/>
    <x v="326"/>
    <s v="273 Main St"/>
    <s v="Gift Card"/>
    <n v="5"/>
    <s v="Facebook"/>
    <n v="3352.4"/>
  </r>
  <r>
    <s v="ORD200327"/>
    <s v="C17302"/>
    <x v="1"/>
    <n v="1"/>
    <x v="327"/>
    <s v="385 Main St"/>
    <s v="Gift Card"/>
    <n v="5"/>
    <s v="Email"/>
    <n v="359.99"/>
  </r>
  <r>
    <s v="ORD200328"/>
    <s v="C18404"/>
    <x v="2"/>
    <n v="5"/>
    <x v="328"/>
    <s v="546 Main St"/>
    <s v="Online"/>
    <n v="7"/>
    <s v="Google"/>
    <n v="3370.2"/>
  </r>
  <r>
    <s v="ORD200329"/>
    <s v="C88371"/>
    <x v="3"/>
    <n v="4"/>
    <x v="329"/>
    <s v="306 Main St"/>
    <s v="Credit Card"/>
    <n v="6"/>
    <s v="Google"/>
    <n v="1132.6400000000001"/>
  </r>
  <r>
    <s v="ORD200330"/>
    <s v="C38068"/>
    <x v="6"/>
    <n v="5"/>
    <x v="330"/>
    <s v="532 Main St"/>
    <s v="Gift Card"/>
    <n v="5"/>
    <s v="Instagram"/>
    <n v="1302.6500000000001"/>
  </r>
  <r>
    <s v="ORD200331"/>
    <s v="C78724"/>
    <x v="4"/>
    <n v="3"/>
    <x v="331"/>
    <s v="187 Main St"/>
    <s v="Online"/>
    <n v="7"/>
    <s v="Facebook"/>
    <n v="1266.3900000000001"/>
  </r>
  <r>
    <s v="ORD200332"/>
    <s v="C26163"/>
    <x v="6"/>
    <n v="5"/>
    <x v="332"/>
    <s v="607 Main St"/>
    <s v="Debit Card"/>
    <n v="9"/>
    <s v="Google"/>
    <n v="625.1"/>
  </r>
  <r>
    <s v="ORD200333"/>
    <s v="C87124"/>
    <x v="1"/>
    <n v="1"/>
    <x v="333"/>
    <s v="818 Main St"/>
    <s v="Credit Card"/>
    <n v="5"/>
    <s v="Instagram"/>
    <n v="198.51"/>
  </r>
  <r>
    <s v="ORD200334"/>
    <s v="C90348"/>
    <x v="3"/>
    <n v="4"/>
    <x v="334"/>
    <s v="728 Main St"/>
    <s v="Online"/>
    <n v="7"/>
    <s v="Facebook"/>
    <n v="899"/>
  </r>
  <r>
    <s v="ORD200335"/>
    <s v="C58721"/>
    <x v="2"/>
    <n v="3"/>
    <x v="335"/>
    <s v="978 Main St"/>
    <s v="Gift Card"/>
    <n v="4"/>
    <s v="Email"/>
    <n v="617.58000000000004"/>
  </r>
  <r>
    <s v="ORD200336"/>
    <s v="C88174"/>
    <x v="5"/>
    <n v="1"/>
    <x v="336"/>
    <s v="441 Main St"/>
    <s v="Debit Card"/>
    <n v="4"/>
    <s v="Instagram"/>
    <n v="18.2"/>
  </r>
  <r>
    <s v="ORD200337"/>
    <s v="C77763"/>
    <x v="2"/>
    <n v="3"/>
    <x v="337"/>
    <s v="599 Main St"/>
    <s v="Debit Card"/>
    <n v="8"/>
    <s v="Email"/>
    <n v="1508.31"/>
  </r>
  <r>
    <s v="ORD200338"/>
    <s v="C53627"/>
    <x v="1"/>
    <n v="5"/>
    <x v="338"/>
    <s v="704 Main St"/>
    <s v="Debit Card"/>
    <n v="10"/>
    <s v="Referral"/>
    <n v="1527.45"/>
  </r>
  <r>
    <s v="ORD200339"/>
    <s v="C84563"/>
    <x v="4"/>
    <n v="2"/>
    <x v="339"/>
    <s v="398 Main St"/>
    <s v="Online"/>
    <n v="3"/>
    <s v="Instagram"/>
    <n v="472.66"/>
  </r>
  <r>
    <s v="ORD200340"/>
    <s v="C76207"/>
    <x v="5"/>
    <n v="5"/>
    <x v="340"/>
    <s v="826 Main St"/>
    <s v="Cash"/>
    <n v="8"/>
    <s v="Email"/>
    <n v="2606.25"/>
  </r>
  <r>
    <s v="ORD200341"/>
    <s v="C94671"/>
    <x v="2"/>
    <n v="1"/>
    <x v="341"/>
    <s v="293 Main St"/>
    <s v="Gift Card"/>
    <n v="5"/>
    <s v="Email"/>
    <n v="167.15"/>
  </r>
  <r>
    <s v="ORD200342"/>
    <s v="C69994"/>
    <x v="0"/>
    <n v="5"/>
    <x v="342"/>
    <s v="619 Main St"/>
    <s v="Gift Card"/>
    <n v="5"/>
    <s v="Referral"/>
    <n v="2332.1"/>
  </r>
  <r>
    <s v="ORD200343"/>
    <s v="C64638"/>
    <x v="4"/>
    <n v="1"/>
    <x v="343"/>
    <s v="919 Main St"/>
    <s v="Debit Card"/>
    <n v="3"/>
    <s v="Facebook"/>
    <n v="527.57000000000005"/>
  </r>
  <r>
    <s v="ORD200344"/>
    <s v="C95623"/>
    <x v="2"/>
    <n v="3"/>
    <x v="344"/>
    <s v="248 Main St"/>
    <s v="Online"/>
    <n v="3"/>
    <s v="Instagram"/>
    <n v="1870.02"/>
  </r>
  <r>
    <s v="ORD200345"/>
    <s v="C24751"/>
    <x v="2"/>
    <n v="5"/>
    <x v="345"/>
    <s v="259 Main St"/>
    <s v="Gift Card"/>
    <n v="10"/>
    <s v="Referral"/>
    <n v="2506.3000000000002"/>
  </r>
  <r>
    <s v="ORD200346"/>
    <s v="C31764"/>
    <x v="2"/>
    <n v="1"/>
    <x v="346"/>
    <s v="876 Main St"/>
    <s v="Cash"/>
    <n v="6"/>
    <s v="Referral"/>
    <n v="655.09"/>
  </r>
  <r>
    <s v="ORD200347"/>
    <s v="C83556"/>
    <x v="4"/>
    <n v="4"/>
    <x v="347"/>
    <s v="380 Main St"/>
    <s v="Credit Card"/>
    <n v="5"/>
    <s v="Google"/>
    <n v="1059.1600000000001"/>
  </r>
  <r>
    <s v="ORD200348"/>
    <s v="C24369"/>
    <x v="5"/>
    <n v="3"/>
    <x v="348"/>
    <s v="885 Main St"/>
    <s v="Debit Card"/>
    <n v="7"/>
    <s v="Email"/>
    <n v="1079.19"/>
  </r>
  <r>
    <s v="ORD200349"/>
    <s v="C39648"/>
    <x v="3"/>
    <n v="1"/>
    <x v="349"/>
    <s v="824 Main St"/>
    <s v="Gift Card"/>
    <n v="2"/>
    <s v="Google"/>
    <n v="465.33"/>
  </r>
  <r>
    <s v="ORD200350"/>
    <s v="C13296"/>
    <x v="3"/>
    <n v="2"/>
    <x v="350"/>
    <s v="495 Main St"/>
    <s v="Online"/>
    <n v="6"/>
    <s v="Instagram"/>
    <n v="108.82"/>
  </r>
  <r>
    <s v="ORD200351"/>
    <s v="C94248"/>
    <x v="5"/>
    <n v="1"/>
    <x v="351"/>
    <s v="494 Main St"/>
    <s v="Debit Card"/>
    <n v="4"/>
    <s v="Instagram"/>
    <n v="64.66"/>
  </r>
  <r>
    <s v="ORD200352"/>
    <s v="C26637"/>
    <x v="3"/>
    <n v="5"/>
    <x v="352"/>
    <s v="995 Main St"/>
    <s v="Debit Card"/>
    <n v="8"/>
    <s v="Instagram"/>
    <n v="869.80000000000007"/>
  </r>
  <r>
    <s v="ORD200353"/>
    <s v="C16012"/>
    <x v="2"/>
    <n v="1"/>
    <x v="353"/>
    <s v="171 Main St"/>
    <s v="Online"/>
    <n v="5"/>
    <s v="Google"/>
    <n v="630.82000000000005"/>
  </r>
  <r>
    <s v="ORD200354"/>
    <s v="C31772"/>
    <x v="1"/>
    <n v="1"/>
    <x v="354"/>
    <s v="992 Main St"/>
    <s v="Debit Card"/>
    <n v="4"/>
    <s v="Instagram"/>
    <n v="693.41"/>
  </r>
  <r>
    <s v="ORD200355"/>
    <s v="C18353"/>
    <x v="2"/>
    <n v="3"/>
    <x v="355"/>
    <s v="677 Main St"/>
    <s v="Credit Card"/>
    <n v="4"/>
    <s v="Referral"/>
    <n v="1299.99"/>
  </r>
  <r>
    <s v="ORD200356"/>
    <s v="C26966"/>
    <x v="4"/>
    <n v="5"/>
    <x v="356"/>
    <s v="907 Main St"/>
    <s v="Gift Card"/>
    <n v="10"/>
    <s v="Instagram"/>
    <n v="1872.9"/>
  </r>
  <r>
    <s v="ORD200357"/>
    <s v="C74982"/>
    <x v="5"/>
    <n v="5"/>
    <x v="357"/>
    <s v="398 Main St"/>
    <s v="Debit Card"/>
    <n v="8"/>
    <s v="Instagram"/>
    <n v="2042.8"/>
  </r>
  <r>
    <s v="ORD200358"/>
    <s v="C70633"/>
    <x v="2"/>
    <n v="2"/>
    <x v="358"/>
    <s v="747 Main St"/>
    <s v="Online"/>
    <n v="3"/>
    <s v="Google"/>
    <n v="367.34"/>
  </r>
  <r>
    <s v="ORD200359"/>
    <s v="C95643"/>
    <x v="6"/>
    <n v="4"/>
    <x v="359"/>
    <s v="303 Main St"/>
    <s v="Debit Card"/>
    <n v="5"/>
    <s v="Referral"/>
    <n v="2426.2800000000002"/>
  </r>
  <r>
    <s v="ORD200360"/>
    <s v="C53810"/>
    <x v="1"/>
    <n v="4"/>
    <x v="360"/>
    <s v="779 Main St"/>
    <s v="Cash"/>
    <n v="8"/>
    <s v="Instagram"/>
    <n v="2358.2800000000002"/>
  </r>
  <r>
    <s v="ORD200361"/>
    <s v="C53464"/>
    <x v="4"/>
    <n v="5"/>
    <x v="361"/>
    <s v="197 Main St"/>
    <s v="Credit Card"/>
    <n v="9"/>
    <s v="Facebook"/>
    <n v="3299.25"/>
  </r>
  <r>
    <s v="ORD200362"/>
    <s v="C53697"/>
    <x v="0"/>
    <n v="4"/>
    <x v="362"/>
    <s v="312 Main St"/>
    <s v="Cash"/>
    <n v="5"/>
    <s v="Instagram"/>
    <n v="827.36"/>
  </r>
  <r>
    <s v="ORD200363"/>
    <s v="C31668"/>
    <x v="5"/>
    <n v="5"/>
    <x v="363"/>
    <s v="871 Main St"/>
    <s v="Credit Card"/>
    <n v="6"/>
    <s v="Email"/>
    <n v="569.35"/>
  </r>
  <r>
    <s v="ORD200364"/>
    <s v="C85282"/>
    <x v="1"/>
    <n v="5"/>
    <x v="364"/>
    <s v="740 Main St"/>
    <s v="Cash"/>
    <n v="9"/>
    <s v="Facebook"/>
    <n v="3143.7"/>
  </r>
  <r>
    <s v="ORD200365"/>
    <s v="C56796"/>
    <x v="1"/>
    <n v="1"/>
    <x v="365"/>
    <s v="607 Main St"/>
    <s v="Credit Card"/>
    <n v="4"/>
    <s v="Referral"/>
    <n v="678.38"/>
  </r>
  <r>
    <s v="ORD200366"/>
    <s v="C95213"/>
    <x v="4"/>
    <n v="3"/>
    <x v="366"/>
    <s v="603 Main St"/>
    <s v="Debit Card"/>
    <n v="8"/>
    <s v="Referral"/>
    <n v="1806.72"/>
  </r>
  <r>
    <s v="ORD200367"/>
    <s v="C13108"/>
    <x v="5"/>
    <n v="5"/>
    <x v="367"/>
    <s v="712 Main St"/>
    <s v="Gift Card"/>
    <n v="10"/>
    <s v="Instagram"/>
    <n v="3293.85"/>
  </r>
  <r>
    <s v="ORD200368"/>
    <s v="C85322"/>
    <x v="0"/>
    <n v="3"/>
    <x v="368"/>
    <s v="403 Main St"/>
    <s v="Credit Card"/>
    <n v="6"/>
    <s v="Google"/>
    <n v="813.06"/>
  </r>
  <r>
    <s v="ORD200369"/>
    <s v="C43545"/>
    <x v="0"/>
    <n v="5"/>
    <x v="369"/>
    <s v="216 Main St"/>
    <s v="Gift Card"/>
    <n v="9"/>
    <s v="Email"/>
    <n v="1876.25"/>
  </r>
  <r>
    <s v="ORD200370"/>
    <s v="C80649"/>
    <x v="1"/>
    <n v="1"/>
    <x v="370"/>
    <s v="870 Main St"/>
    <s v="Online"/>
    <n v="4"/>
    <s v="Facebook"/>
    <n v="312.11"/>
  </r>
  <r>
    <s v="ORD200371"/>
    <s v="C59752"/>
    <x v="1"/>
    <n v="5"/>
    <x v="371"/>
    <s v="179 Main St"/>
    <s v="Gift Card"/>
    <n v="9"/>
    <s v="Google"/>
    <n v="1538.8"/>
  </r>
  <r>
    <s v="ORD200372"/>
    <s v="C53645"/>
    <x v="3"/>
    <n v="3"/>
    <x v="372"/>
    <s v="166 Main St"/>
    <s v="Cash"/>
    <n v="4"/>
    <s v="Referral"/>
    <n v="1450.59"/>
  </r>
  <r>
    <s v="ORD200373"/>
    <s v="C60178"/>
    <x v="5"/>
    <n v="3"/>
    <x v="373"/>
    <s v="969 Main St"/>
    <s v="Cash"/>
    <n v="4"/>
    <s v="Instagram"/>
    <n v="1023.45"/>
  </r>
  <r>
    <s v="ORD200374"/>
    <s v="C20286"/>
    <x v="0"/>
    <n v="1"/>
    <x v="374"/>
    <s v="129 Main St"/>
    <s v="Gift Card"/>
    <n v="1"/>
    <s v="Instagram"/>
    <n v="571.9"/>
  </r>
  <r>
    <s v="ORD200375"/>
    <s v="C87547"/>
    <x v="0"/>
    <n v="4"/>
    <x v="375"/>
    <s v="400 Main St"/>
    <s v="Online"/>
    <n v="8"/>
    <s v="Facebook"/>
    <n v="380.12"/>
  </r>
  <r>
    <s v="ORD200376"/>
    <s v="C64549"/>
    <x v="0"/>
    <n v="5"/>
    <x v="376"/>
    <s v="341 Main St"/>
    <s v="Debit Card"/>
    <n v="6"/>
    <s v="Facebook"/>
    <n v="1006.1"/>
  </r>
  <r>
    <s v="ORD200377"/>
    <s v="C24884"/>
    <x v="0"/>
    <n v="1"/>
    <x v="377"/>
    <s v="625 Main St"/>
    <s v="Online"/>
    <n v="5"/>
    <s v="Instagram"/>
    <n v="260.26"/>
  </r>
  <r>
    <s v="ORD200378"/>
    <s v="C62666"/>
    <x v="3"/>
    <n v="5"/>
    <x v="378"/>
    <s v="148 Main St"/>
    <s v="Credit Card"/>
    <n v="8"/>
    <s v="Instagram"/>
    <n v="322.5"/>
  </r>
  <r>
    <s v="ORD200379"/>
    <s v="C47284"/>
    <x v="1"/>
    <n v="3"/>
    <x v="379"/>
    <s v="500 Main St"/>
    <s v="Online"/>
    <n v="6"/>
    <s v="Google"/>
    <n v="893.01"/>
  </r>
  <r>
    <s v="ORD200380"/>
    <s v="C35355"/>
    <x v="4"/>
    <n v="4"/>
    <x v="380"/>
    <s v="127 Main St"/>
    <s v="Cash"/>
    <n v="5"/>
    <s v="Instagram"/>
    <n v="1327.6"/>
  </r>
  <r>
    <s v="ORD200381"/>
    <s v="C29467"/>
    <x v="3"/>
    <n v="1"/>
    <x v="381"/>
    <s v="223 Main St"/>
    <s v="Credit Card"/>
    <n v="1"/>
    <s v="Instagram"/>
    <n v="191.76"/>
  </r>
  <r>
    <s v="ORD200382"/>
    <s v="C26718"/>
    <x v="4"/>
    <n v="4"/>
    <x v="382"/>
    <s v="272 Main St"/>
    <s v="Debit Card"/>
    <n v="8"/>
    <s v="Google"/>
    <n v="1052.3599999999999"/>
  </r>
  <r>
    <s v="ORD200383"/>
    <s v="C18944"/>
    <x v="3"/>
    <n v="4"/>
    <x v="383"/>
    <s v="837 Main St"/>
    <s v="Credit Card"/>
    <n v="7"/>
    <s v="Email"/>
    <n v="1575.2"/>
  </r>
  <r>
    <s v="ORD200384"/>
    <s v="C35628"/>
    <x v="3"/>
    <n v="3"/>
    <x v="384"/>
    <s v="147 Main St"/>
    <s v="Credit Card"/>
    <n v="4"/>
    <s v="Facebook"/>
    <n v="1660.71"/>
  </r>
  <r>
    <s v="ORD200385"/>
    <s v="C56851"/>
    <x v="3"/>
    <n v="5"/>
    <x v="385"/>
    <s v="752 Main St"/>
    <s v="Gift Card"/>
    <n v="6"/>
    <s v="Facebook"/>
    <n v="958.15"/>
  </r>
  <r>
    <s v="ORD200386"/>
    <s v="C12421"/>
    <x v="2"/>
    <n v="1"/>
    <x v="386"/>
    <s v="373 Main St"/>
    <s v="Online"/>
    <n v="4"/>
    <s v="Email"/>
    <n v="93.02"/>
  </r>
  <r>
    <s v="ORD200387"/>
    <s v="C25316"/>
    <x v="4"/>
    <n v="2"/>
    <x v="387"/>
    <s v="904 Main St"/>
    <s v="Credit Card"/>
    <n v="3"/>
    <s v="Google"/>
    <n v="79.06"/>
  </r>
  <r>
    <s v="ORD200388"/>
    <s v="C22657"/>
    <x v="4"/>
    <n v="3"/>
    <x v="388"/>
    <s v="152 Main St"/>
    <s v="Cash"/>
    <n v="7"/>
    <s v="Facebook"/>
    <n v="1901.91"/>
  </r>
  <r>
    <s v="ORD200389"/>
    <s v="C29703"/>
    <x v="6"/>
    <n v="4"/>
    <x v="389"/>
    <s v="558 Main St"/>
    <s v="Cash"/>
    <n v="7"/>
    <s v="Referral"/>
    <n v="2790"/>
  </r>
  <r>
    <s v="ORD200390"/>
    <s v="C55996"/>
    <x v="4"/>
    <n v="5"/>
    <x v="390"/>
    <s v="885 Main St"/>
    <s v="Cash"/>
    <n v="10"/>
    <s v="Google"/>
    <n v="2543.4499999999998"/>
  </r>
  <r>
    <s v="ORD200391"/>
    <s v="C60037"/>
    <x v="5"/>
    <n v="2"/>
    <x v="391"/>
    <s v="516 Main St"/>
    <s v="Debit Card"/>
    <n v="3"/>
    <s v="Referral"/>
    <n v="1054.92"/>
  </r>
  <r>
    <s v="ORD200392"/>
    <s v="C95100"/>
    <x v="1"/>
    <n v="1"/>
    <x v="392"/>
    <s v="197 Main St"/>
    <s v="Online"/>
    <n v="1"/>
    <s v="Email"/>
    <n v="627.20000000000005"/>
  </r>
  <r>
    <s v="ORD200393"/>
    <s v="C39906"/>
    <x v="4"/>
    <n v="1"/>
    <x v="393"/>
    <s v="921 Main St"/>
    <s v="Credit Card"/>
    <n v="3"/>
    <s v="Google"/>
    <n v="75.010000000000005"/>
  </r>
  <r>
    <s v="ORD200394"/>
    <s v="C70148"/>
    <x v="6"/>
    <n v="5"/>
    <x v="394"/>
    <s v="359 Main St"/>
    <s v="Gift Card"/>
    <n v="10"/>
    <s v="Facebook"/>
    <n v="2647.75"/>
  </r>
  <r>
    <s v="ORD200395"/>
    <s v="C30010"/>
    <x v="1"/>
    <n v="3"/>
    <x v="395"/>
    <s v="830 Main St"/>
    <s v="Gift Card"/>
    <n v="7"/>
    <s v="Referral"/>
    <n v="382.23"/>
  </r>
  <r>
    <s v="ORD200396"/>
    <s v="C99217"/>
    <x v="2"/>
    <n v="5"/>
    <x v="396"/>
    <s v="778 Main St"/>
    <s v="Online"/>
    <n v="10"/>
    <s v="Email"/>
    <n v="1435.65"/>
  </r>
  <r>
    <s v="ORD200397"/>
    <s v="C30184"/>
    <x v="0"/>
    <n v="1"/>
    <x v="397"/>
    <s v="987 Main St"/>
    <s v="Online"/>
    <n v="1"/>
    <s v="Referral"/>
    <n v="427.06"/>
  </r>
  <r>
    <s v="ORD200398"/>
    <s v="C50275"/>
    <x v="1"/>
    <n v="5"/>
    <x v="398"/>
    <s v="729 Main St"/>
    <s v="Gift Card"/>
    <n v="7"/>
    <s v="Instagram"/>
    <n v="269.64999999999998"/>
  </r>
  <r>
    <s v="ORD200399"/>
    <s v="C64641"/>
    <x v="2"/>
    <n v="5"/>
    <x v="399"/>
    <s v="319 Main St"/>
    <s v="Debit Card"/>
    <n v="5"/>
    <s v="Facebook"/>
    <n v="2119.65"/>
  </r>
  <r>
    <s v="ORD200400"/>
    <s v="C56266"/>
    <x v="6"/>
    <n v="4"/>
    <x v="400"/>
    <s v="304 Main St"/>
    <s v="Debit Card"/>
    <n v="9"/>
    <s v="Instagram"/>
    <n v="640.88"/>
  </r>
  <r>
    <s v="ORD200401"/>
    <s v="C98635"/>
    <x v="4"/>
    <n v="1"/>
    <x v="401"/>
    <s v="197 Main St"/>
    <s v="Debit Card"/>
    <n v="6"/>
    <s v="Referral"/>
    <n v="538.67999999999995"/>
  </r>
  <r>
    <s v="ORD200402"/>
    <s v="C83026"/>
    <x v="4"/>
    <n v="5"/>
    <x v="402"/>
    <s v="858 Main St"/>
    <s v="Gift Card"/>
    <n v="5"/>
    <s v="Referral"/>
    <n v="1686.9"/>
  </r>
  <r>
    <s v="ORD200403"/>
    <s v="C28893"/>
    <x v="2"/>
    <n v="1"/>
    <x v="403"/>
    <s v="740 Main St"/>
    <s v="Online"/>
    <n v="1"/>
    <s v="Referral"/>
    <n v="620.21"/>
  </r>
  <r>
    <s v="ORD200404"/>
    <s v="C45482"/>
    <x v="0"/>
    <n v="2"/>
    <x v="404"/>
    <s v="440 Main St"/>
    <s v="Cash"/>
    <n v="6"/>
    <s v="Instagram"/>
    <n v="198.2"/>
  </r>
  <r>
    <s v="ORD200405"/>
    <s v="C97774"/>
    <x v="0"/>
    <n v="4"/>
    <x v="405"/>
    <s v="603 Main St"/>
    <s v="Online"/>
    <n v="7"/>
    <s v="Email"/>
    <n v="1807.88"/>
  </r>
  <r>
    <s v="ORD200406"/>
    <s v="C11657"/>
    <x v="2"/>
    <n v="4"/>
    <x v="406"/>
    <s v="572 Main St"/>
    <s v="Cash"/>
    <n v="9"/>
    <s v="Google"/>
    <n v="264.39999999999998"/>
  </r>
  <r>
    <s v="ORD200407"/>
    <s v="C85993"/>
    <x v="2"/>
    <n v="4"/>
    <x v="407"/>
    <s v="250 Main St"/>
    <s v="Cash"/>
    <n v="8"/>
    <s v="Instagram"/>
    <n v="2189.2800000000002"/>
  </r>
  <r>
    <s v="ORD200408"/>
    <s v="C11906"/>
    <x v="4"/>
    <n v="3"/>
    <x v="408"/>
    <s v="536 Main St"/>
    <s v="Online"/>
    <n v="6"/>
    <s v="Google"/>
    <n v="1237.5899999999999"/>
  </r>
  <r>
    <s v="ORD200409"/>
    <s v="C45187"/>
    <x v="6"/>
    <n v="5"/>
    <x v="409"/>
    <s v="767 Main St"/>
    <s v="Online"/>
    <n v="9"/>
    <s v="Google"/>
    <n v="420.65"/>
  </r>
  <r>
    <s v="ORD200410"/>
    <s v="C37375"/>
    <x v="2"/>
    <n v="2"/>
    <x v="410"/>
    <s v="184 Main St"/>
    <s v="Debit Card"/>
    <n v="5"/>
    <s v="Email"/>
    <n v="1036.46"/>
  </r>
  <r>
    <s v="ORD200411"/>
    <s v="C66567"/>
    <x v="6"/>
    <n v="2"/>
    <x v="411"/>
    <s v="981 Main St"/>
    <s v="Online"/>
    <n v="5"/>
    <s v="Facebook"/>
    <n v="79.02"/>
  </r>
  <r>
    <s v="ORD200412"/>
    <s v="C42451"/>
    <x v="2"/>
    <n v="5"/>
    <x v="412"/>
    <s v="246 Main St"/>
    <s v="Credit Card"/>
    <n v="10"/>
    <s v="Facebook"/>
    <n v="665.05"/>
  </r>
  <r>
    <s v="ORD200413"/>
    <s v="C13923"/>
    <x v="2"/>
    <n v="1"/>
    <x v="413"/>
    <s v="123 Main St"/>
    <s v="Online"/>
    <n v="6"/>
    <s v="Email"/>
    <n v="118.8"/>
  </r>
  <r>
    <s v="ORD200414"/>
    <s v="C11829"/>
    <x v="6"/>
    <n v="2"/>
    <x v="414"/>
    <s v="797 Main St"/>
    <s v="Cash"/>
    <n v="4"/>
    <s v="Facebook"/>
    <n v="279.14"/>
  </r>
  <r>
    <s v="ORD200415"/>
    <s v="C62169"/>
    <x v="3"/>
    <n v="1"/>
    <x v="415"/>
    <s v="655 Main St"/>
    <s v="Gift Card"/>
    <n v="5"/>
    <s v="Facebook"/>
    <n v="184.15"/>
  </r>
  <r>
    <s v="ORD200416"/>
    <s v="C20881"/>
    <x v="5"/>
    <n v="2"/>
    <x v="416"/>
    <s v="652 Main St"/>
    <s v="Gift Card"/>
    <n v="5"/>
    <s v="Referral"/>
    <n v="1288.0999999999999"/>
  </r>
  <r>
    <s v="ORD200417"/>
    <s v="C44492"/>
    <x v="5"/>
    <n v="5"/>
    <x v="417"/>
    <s v="954 Main St"/>
    <s v="Online"/>
    <n v="5"/>
    <s v="Google"/>
    <n v="277.05"/>
  </r>
  <r>
    <s v="ORD200418"/>
    <s v="C74169"/>
    <x v="4"/>
    <n v="1"/>
    <x v="418"/>
    <s v="862 Main St"/>
    <s v="Online"/>
    <n v="3"/>
    <s v="Facebook"/>
    <n v="310.93"/>
  </r>
  <r>
    <s v="ORD200419"/>
    <s v="C70999"/>
    <x v="2"/>
    <n v="2"/>
    <x v="419"/>
    <s v="885 Main St"/>
    <s v="Debit Card"/>
    <n v="6"/>
    <s v="Instagram"/>
    <n v="433.32"/>
  </r>
  <r>
    <s v="ORD200420"/>
    <s v="C11921"/>
    <x v="1"/>
    <n v="1"/>
    <x v="420"/>
    <s v="439 Main St"/>
    <s v="Debit Card"/>
    <n v="5"/>
    <s v="Instagram"/>
    <n v="452.7"/>
  </r>
  <r>
    <s v="ORD200421"/>
    <s v="C50683"/>
    <x v="3"/>
    <n v="2"/>
    <x v="421"/>
    <s v="769 Main St"/>
    <s v="Debit Card"/>
    <n v="5"/>
    <s v="Email"/>
    <n v="576.41999999999996"/>
  </r>
  <r>
    <s v="ORD200422"/>
    <s v="C76140"/>
    <x v="1"/>
    <n v="4"/>
    <x v="422"/>
    <s v="914 Main St"/>
    <s v="Gift Card"/>
    <n v="6"/>
    <s v="Referral"/>
    <n v="826.4"/>
  </r>
  <r>
    <s v="ORD200423"/>
    <s v="C94311"/>
    <x v="4"/>
    <n v="4"/>
    <x v="423"/>
    <s v="195 Main St"/>
    <s v="Gift Card"/>
    <n v="6"/>
    <s v="Google"/>
    <n v="2740.8"/>
  </r>
  <r>
    <s v="ORD200424"/>
    <s v="C49491"/>
    <x v="3"/>
    <n v="5"/>
    <x v="424"/>
    <s v="339 Main St"/>
    <s v="Cash"/>
    <n v="10"/>
    <s v="Email"/>
    <n v="114.7"/>
  </r>
  <r>
    <s v="ORD200425"/>
    <s v="C40648"/>
    <x v="5"/>
    <n v="2"/>
    <x v="425"/>
    <s v="488 Main St"/>
    <s v="Gift Card"/>
    <n v="5"/>
    <s v="Email"/>
    <n v="603.76"/>
  </r>
  <r>
    <s v="ORD200426"/>
    <s v="C40967"/>
    <x v="0"/>
    <n v="5"/>
    <x v="426"/>
    <s v="315 Main St"/>
    <s v="Cash"/>
    <n v="10"/>
    <s v="Facebook"/>
    <n v="287.25"/>
  </r>
  <r>
    <s v="ORD200427"/>
    <s v="C25406"/>
    <x v="6"/>
    <n v="1"/>
    <x v="427"/>
    <s v="379 Main St"/>
    <s v="Credit Card"/>
    <n v="3"/>
    <s v="Instagram"/>
    <n v="161.24"/>
  </r>
  <r>
    <s v="ORD200428"/>
    <s v="C77085"/>
    <x v="3"/>
    <n v="4"/>
    <x v="428"/>
    <s v="895 Main St"/>
    <s v="Online"/>
    <n v="8"/>
    <s v="Email"/>
    <n v="1050.32"/>
  </r>
  <r>
    <s v="ORD200429"/>
    <s v="C38126"/>
    <x v="4"/>
    <n v="4"/>
    <x v="429"/>
    <s v="522 Main St"/>
    <s v="Credit Card"/>
    <n v="9"/>
    <s v="Facebook"/>
    <n v="2060.7600000000002"/>
  </r>
  <r>
    <s v="ORD200430"/>
    <s v="C87448"/>
    <x v="1"/>
    <n v="1"/>
    <x v="430"/>
    <s v="433 Main St"/>
    <s v="Gift Card"/>
    <n v="6"/>
    <s v="Google"/>
    <n v="450.07"/>
  </r>
  <r>
    <s v="ORD200431"/>
    <s v="C62312"/>
    <x v="4"/>
    <n v="1"/>
    <x v="431"/>
    <s v="651 Main St"/>
    <s v="Debit Card"/>
    <n v="6"/>
    <s v="Facebook"/>
    <n v="52.54"/>
  </r>
  <r>
    <s v="ORD200432"/>
    <s v="C58443"/>
    <x v="2"/>
    <n v="2"/>
    <x v="432"/>
    <s v="662 Main St"/>
    <s v="Credit Card"/>
    <n v="6"/>
    <s v="Referral"/>
    <n v="848.64"/>
  </r>
  <r>
    <s v="ORD200433"/>
    <s v="C36613"/>
    <x v="0"/>
    <n v="3"/>
    <x v="433"/>
    <s v="785 Main St"/>
    <s v="Credit Card"/>
    <n v="3"/>
    <s v="Facebook"/>
    <n v="1894.92"/>
  </r>
  <r>
    <s v="ORD200434"/>
    <s v="C73893"/>
    <x v="4"/>
    <n v="5"/>
    <x v="434"/>
    <s v="384 Main St"/>
    <s v="Credit Card"/>
    <n v="6"/>
    <s v="Facebook"/>
    <n v="1638.4"/>
  </r>
  <r>
    <s v="ORD200435"/>
    <s v="C48601"/>
    <x v="4"/>
    <n v="1"/>
    <x v="435"/>
    <s v="101 Main St"/>
    <s v="Debit Card"/>
    <n v="3"/>
    <s v="Instagram"/>
    <n v="414.47"/>
  </r>
  <r>
    <s v="ORD200436"/>
    <s v="C14568"/>
    <x v="5"/>
    <n v="4"/>
    <x v="436"/>
    <s v="651 Main St"/>
    <s v="Online"/>
    <n v="5"/>
    <s v="Google"/>
    <n v="885.32"/>
  </r>
  <r>
    <s v="ORD200437"/>
    <s v="C63378"/>
    <x v="1"/>
    <n v="1"/>
    <x v="437"/>
    <s v="955 Main St"/>
    <s v="Online"/>
    <n v="2"/>
    <s v="Instagram"/>
    <n v="512.39"/>
  </r>
  <r>
    <s v="ORD200438"/>
    <s v="C77800"/>
    <x v="2"/>
    <n v="3"/>
    <x v="438"/>
    <s v="436 Main St"/>
    <s v="Gift Card"/>
    <n v="3"/>
    <s v="Instagram"/>
    <n v="1378.02"/>
  </r>
  <r>
    <s v="ORD200439"/>
    <s v="C91155"/>
    <x v="2"/>
    <n v="1"/>
    <x v="439"/>
    <s v="321 Main St"/>
    <s v="Online"/>
    <n v="4"/>
    <s v="Facebook"/>
    <n v="146.32"/>
  </r>
  <r>
    <s v="ORD200440"/>
    <s v="C60215"/>
    <x v="6"/>
    <n v="4"/>
    <x v="440"/>
    <s v="978 Main St"/>
    <s v="Debit Card"/>
    <n v="4"/>
    <s v="Facebook"/>
    <n v="334.4"/>
  </r>
  <r>
    <s v="ORD200441"/>
    <s v="C52915"/>
    <x v="4"/>
    <n v="2"/>
    <x v="441"/>
    <s v="475 Main St"/>
    <s v="Gift Card"/>
    <n v="6"/>
    <s v="Email"/>
    <n v="657.08"/>
  </r>
  <r>
    <s v="ORD200442"/>
    <s v="C72588"/>
    <x v="3"/>
    <n v="5"/>
    <x v="442"/>
    <s v="661 Main St"/>
    <s v="Cash"/>
    <n v="8"/>
    <s v="Instagram"/>
    <n v="1574.7"/>
  </r>
  <r>
    <s v="ORD200443"/>
    <s v="C61668"/>
    <x v="3"/>
    <n v="2"/>
    <x v="443"/>
    <s v="813 Main St"/>
    <s v="Cash"/>
    <n v="6"/>
    <s v="Facebook"/>
    <n v="139.28"/>
  </r>
  <r>
    <s v="ORD200444"/>
    <s v="C79508"/>
    <x v="4"/>
    <n v="1"/>
    <x v="444"/>
    <s v="585 Main St"/>
    <s v="Online"/>
    <n v="6"/>
    <s v="Instagram"/>
    <n v="135.16999999999999"/>
  </r>
  <r>
    <s v="ORD200445"/>
    <s v="C94569"/>
    <x v="1"/>
    <n v="1"/>
    <x v="445"/>
    <s v="227 Main St"/>
    <s v="Cash"/>
    <n v="3"/>
    <s v="Referral"/>
    <n v="487.21"/>
  </r>
  <r>
    <s v="ORD200446"/>
    <s v="C89592"/>
    <x v="5"/>
    <n v="5"/>
    <x v="446"/>
    <s v="262 Main St"/>
    <s v="Online"/>
    <n v="6"/>
    <s v="Instagram"/>
    <n v="2547.9"/>
  </r>
  <r>
    <s v="ORD200447"/>
    <s v="C48207"/>
    <x v="4"/>
    <n v="2"/>
    <x v="447"/>
    <s v="356 Main St"/>
    <s v="Cash"/>
    <n v="2"/>
    <s v="Facebook"/>
    <n v="833.62"/>
  </r>
  <r>
    <s v="ORD200448"/>
    <s v="C16776"/>
    <x v="5"/>
    <n v="2"/>
    <x v="448"/>
    <s v="854 Main St"/>
    <s v="Cash"/>
    <n v="4"/>
    <s v="Instagram"/>
    <n v="320"/>
  </r>
  <r>
    <s v="ORD200449"/>
    <s v="C91518"/>
    <x v="2"/>
    <n v="3"/>
    <x v="449"/>
    <s v="286 Main St"/>
    <s v="Online"/>
    <n v="3"/>
    <s v="Instagram"/>
    <n v="759.15000000000009"/>
  </r>
  <r>
    <s v="ORD200450"/>
    <s v="C36408"/>
    <x v="0"/>
    <n v="5"/>
    <x v="450"/>
    <s v="160 Main St"/>
    <s v="Gift Card"/>
    <n v="10"/>
    <s v="Instagram"/>
    <n v="3075.5"/>
  </r>
  <r>
    <s v="ORD200451"/>
    <s v="C14837"/>
    <x v="0"/>
    <n v="1"/>
    <x v="451"/>
    <s v="647 Main St"/>
    <s v="Debit Card"/>
    <n v="6"/>
    <s v="Email"/>
    <n v="183.18"/>
  </r>
  <r>
    <s v="ORD200452"/>
    <s v="C36467"/>
    <x v="4"/>
    <n v="1"/>
    <x v="452"/>
    <s v="581 Main St"/>
    <s v="Cash"/>
    <n v="5"/>
    <s v="Google"/>
    <n v="75.78"/>
  </r>
  <r>
    <s v="ORD200453"/>
    <s v="C15017"/>
    <x v="2"/>
    <n v="1"/>
    <x v="453"/>
    <s v="492 Main St"/>
    <s v="Cash"/>
    <n v="1"/>
    <s v="Facebook"/>
    <n v="675.57"/>
  </r>
  <r>
    <s v="ORD200454"/>
    <s v="C54759"/>
    <x v="5"/>
    <n v="1"/>
    <x v="454"/>
    <s v="686 Main St"/>
    <s v="Debit Card"/>
    <n v="5"/>
    <s v="Google"/>
    <n v="109.29"/>
  </r>
  <r>
    <s v="ORD200455"/>
    <s v="C58341"/>
    <x v="1"/>
    <n v="1"/>
    <x v="455"/>
    <s v="874 Main St"/>
    <s v="Debit Card"/>
    <n v="2"/>
    <s v="Referral"/>
    <n v="639.83000000000004"/>
  </r>
  <r>
    <s v="ORD200456"/>
    <s v="C94479"/>
    <x v="6"/>
    <n v="5"/>
    <x v="456"/>
    <s v="259 Main St"/>
    <s v="Credit Card"/>
    <n v="9"/>
    <s v="Facebook"/>
    <n v="314.05"/>
  </r>
  <r>
    <s v="ORD200457"/>
    <s v="C50236"/>
    <x v="6"/>
    <n v="4"/>
    <x v="457"/>
    <s v="545 Main St"/>
    <s v="Online"/>
    <n v="4"/>
    <s v="Instagram"/>
    <n v="2463.3200000000002"/>
  </r>
  <r>
    <s v="ORD200458"/>
    <s v="C31412"/>
    <x v="0"/>
    <n v="4"/>
    <x v="458"/>
    <s v="196 Main St"/>
    <s v="Credit Card"/>
    <n v="7"/>
    <s v="Email"/>
    <n v="2042.32"/>
  </r>
  <r>
    <s v="ORD200459"/>
    <s v="C90142"/>
    <x v="6"/>
    <n v="1"/>
    <x v="459"/>
    <s v="433 Main St"/>
    <s v="Credit Card"/>
    <n v="2"/>
    <s v="Instagram"/>
    <n v="334.39"/>
  </r>
  <r>
    <s v="ORD200460"/>
    <s v="C83548"/>
    <x v="5"/>
    <n v="1"/>
    <x v="460"/>
    <s v="474 Main St"/>
    <s v="Cash"/>
    <n v="2"/>
    <s v="Referral"/>
    <n v="144.25"/>
  </r>
  <r>
    <s v="ORD200461"/>
    <s v="C29697"/>
    <x v="2"/>
    <n v="1"/>
    <x v="461"/>
    <s v="407 Main St"/>
    <s v="Credit Card"/>
    <n v="5"/>
    <s v="Google"/>
    <n v="401.82"/>
  </r>
  <r>
    <s v="ORD200462"/>
    <s v="C22991"/>
    <x v="1"/>
    <n v="1"/>
    <x v="462"/>
    <s v="731 Main St"/>
    <s v="Online"/>
    <n v="1"/>
    <s v="Referral"/>
    <n v="252.68"/>
  </r>
  <r>
    <s v="ORD200463"/>
    <s v="C25276"/>
    <x v="5"/>
    <n v="5"/>
    <x v="463"/>
    <s v="214 Main St"/>
    <s v="Debit Card"/>
    <n v="9"/>
    <s v="Instagram"/>
    <n v="3313.9"/>
  </r>
  <r>
    <s v="ORD200464"/>
    <s v="C39176"/>
    <x v="2"/>
    <n v="4"/>
    <x v="464"/>
    <s v="739 Main St"/>
    <s v="Online"/>
    <n v="6"/>
    <s v="Google"/>
    <n v="1737.68"/>
  </r>
  <r>
    <s v="ORD200465"/>
    <s v="C58773"/>
    <x v="4"/>
    <n v="5"/>
    <x v="465"/>
    <s v="391 Main St"/>
    <s v="Gift Card"/>
    <n v="8"/>
    <s v="Google"/>
    <n v="2567.4499999999998"/>
  </r>
  <r>
    <s v="ORD200466"/>
    <s v="C37412"/>
    <x v="1"/>
    <n v="1"/>
    <x v="466"/>
    <s v="895 Main St"/>
    <s v="Cash"/>
    <n v="4"/>
    <s v="Referral"/>
    <n v="432.47"/>
  </r>
  <r>
    <s v="ORD200467"/>
    <s v="C36492"/>
    <x v="6"/>
    <n v="1"/>
    <x v="467"/>
    <s v="572 Main St"/>
    <s v="Cash"/>
    <n v="2"/>
    <s v="Email"/>
    <n v="45.94"/>
  </r>
  <r>
    <s v="ORD200468"/>
    <s v="C90110"/>
    <x v="1"/>
    <n v="1"/>
    <x v="468"/>
    <s v="998 Main St"/>
    <s v="Credit Card"/>
    <n v="5"/>
    <s v="Email"/>
    <n v="418.36"/>
  </r>
  <r>
    <s v="ORD200469"/>
    <s v="C13877"/>
    <x v="3"/>
    <n v="5"/>
    <x v="469"/>
    <s v="893 Main St"/>
    <s v="Cash"/>
    <n v="5"/>
    <s v="Facebook"/>
    <n v="3384.9"/>
  </r>
  <r>
    <s v="ORD200470"/>
    <s v="C25149"/>
    <x v="2"/>
    <n v="4"/>
    <x v="470"/>
    <s v="672 Main St"/>
    <s v="Cash"/>
    <n v="5"/>
    <s v="Email"/>
    <n v="1054.48"/>
  </r>
  <r>
    <s v="ORD200471"/>
    <s v="C52717"/>
    <x v="6"/>
    <n v="5"/>
    <x v="471"/>
    <s v="395 Main St"/>
    <s v="Online"/>
    <n v="7"/>
    <s v="Referral"/>
    <n v="2756.35"/>
  </r>
  <r>
    <s v="ORD200472"/>
    <s v="C60029"/>
    <x v="3"/>
    <n v="3"/>
    <x v="472"/>
    <s v="796 Main St"/>
    <s v="Credit Card"/>
    <n v="8"/>
    <s v="Referral"/>
    <n v="1524.36"/>
  </r>
  <r>
    <s v="ORD200473"/>
    <s v="C28552"/>
    <x v="3"/>
    <n v="2"/>
    <x v="473"/>
    <s v="449 Main St"/>
    <s v="Online"/>
    <n v="4"/>
    <s v="Facebook"/>
    <n v="29.86"/>
  </r>
  <r>
    <s v="ORD200474"/>
    <s v="C72293"/>
    <x v="4"/>
    <n v="3"/>
    <x v="474"/>
    <s v="398 Main St"/>
    <s v="Credit Card"/>
    <n v="6"/>
    <s v="Referral"/>
    <n v="688.02"/>
  </r>
  <r>
    <s v="ORD200475"/>
    <s v="C29844"/>
    <x v="2"/>
    <n v="2"/>
    <x v="475"/>
    <s v="363 Main St"/>
    <s v="Cash"/>
    <n v="3"/>
    <s v="Facebook"/>
    <n v="877.24"/>
  </r>
  <r>
    <s v="ORD200476"/>
    <s v="C77872"/>
    <x v="1"/>
    <n v="2"/>
    <x v="476"/>
    <s v="867 Main St"/>
    <s v="Online"/>
    <n v="4"/>
    <s v="Referral"/>
    <n v="1027.18"/>
  </r>
  <r>
    <s v="ORD200477"/>
    <s v="C56564"/>
    <x v="1"/>
    <n v="2"/>
    <x v="477"/>
    <s v="481 Main St"/>
    <s v="Online"/>
    <n v="5"/>
    <s v="Google"/>
    <n v="507.48"/>
  </r>
  <r>
    <s v="ORD200478"/>
    <s v="C16758"/>
    <x v="2"/>
    <n v="3"/>
    <x v="478"/>
    <s v="914 Main St"/>
    <s v="Gift Card"/>
    <n v="6"/>
    <s v="Referral"/>
    <n v="188.31"/>
  </r>
  <r>
    <s v="ORD200479"/>
    <s v="C87011"/>
    <x v="0"/>
    <n v="4"/>
    <x v="479"/>
    <s v="943 Main St"/>
    <s v="Credit Card"/>
    <n v="8"/>
    <s v="Google"/>
    <n v="101.16"/>
  </r>
  <r>
    <s v="ORD200480"/>
    <s v="C21147"/>
    <x v="3"/>
    <n v="1"/>
    <x v="480"/>
    <s v="126 Main St"/>
    <s v="Debit Card"/>
    <n v="6"/>
    <s v="Referral"/>
    <n v="335.1"/>
  </r>
  <r>
    <s v="ORD200481"/>
    <s v="C94568"/>
    <x v="5"/>
    <n v="4"/>
    <x v="481"/>
    <s v="317 Main St"/>
    <s v="Debit Card"/>
    <n v="5"/>
    <s v="Referral"/>
    <n v="1939.4"/>
  </r>
  <r>
    <s v="ORD200482"/>
    <s v="C35852"/>
    <x v="0"/>
    <n v="3"/>
    <x v="482"/>
    <s v="989 Main St"/>
    <s v="Online"/>
    <n v="6"/>
    <s v="Instagram"/>
    <n v="1144.23"/>
  </r>
  <r>
    <s v="ORD200483"/>
    <s v="C66462"/>
    <x v="1"/>
    <n v="5"/>
    <x v="483"/>
    <s v="982 Main St"/>
    <s v="Cash"/>
    <n v="6"/>
    <s v="Google"/>
    <n v="1739.6"/>
  </r>
  <r>
    <s v="ORD200484"/>
    <s v="C29092"/>
    <x v="3"/>
    <n v="4"/>
    <x v="484"/>
    <s v="767 Main St"/>
    <s v="Cash"/>
    <n v="6"/>
    <s v="Facebook"/>
    <n v="60.04"/>
  </r>
  <r>
    <s v="ORD200485"/>
    <s v="C46651"/>
    <x v="3"/>
    <n v="3"/>
    <x v="485"/>
    <s v="764 Main St"/>
    <s v="Cash"/>
    <n v="6"/>
    <s v="Instagram"/>
    <n v="1214.3699999999999"/>
  </r>
  <r>
    <s v="ORD200486"/>
    <s v="C88981"/>
    <x v="4"/>
    <n v="4"/>
    <x v="486"/>
    <s v="558 Main St"/>
    <s v="Cash"/>
    <n v="5"/>
    <s v="Referral"/>
    <n v="2445.04"/>
  </r>
  <r>
    <s v="ORD200487"/>
    <s v="C40136"/>
    <x v="4"/>
    <n v="3"/>
    <x v="487"/>
    <s v="211 Main St"/>
    <s v="Credit Card"/>
    <n v="3"/>
    <s v="Google"/>
    <n v="1039.56"/>
  </r>
  <r>
    <s v="ORD200488"/>
    <s v="C81573"/>
    <x v="3"/>
    <n v="1"/>
    <x v="488"/>
    <s v="556 Main St"/>
    <s v="Online"/>
    <n v="1"/>
    <s v="Email"/>
    <n v="36.65"/>
  </r>
  <r>
    <s v="ORD200489"/>
    <s v="C11940"/>
    <x v="2"/>
    <n v="3"/>
    <x v="489"/>
    <s v="589 Main St"/>
    <s v="Gift Card"/>
    <n v="7"/>
    <s v="Email"/>
    <n v="448.02"/>
  </r>
  <r>
    <s v="ORD200490"/>
    <s v="C50097"/>
    <x v="3"/>
    <n v="5"/>
    <x v="490"/>
    <s v="539 Main St"/>
    <s v="Online"/>
    <n v="10"/>
    <s v="Facebook"/>
    <n v="2339.0500000000002"/>
  </r>
  <r>
    <s v="ORD200491"/>
    <s v="C98168"/>
    <x v="1"/>
    <n v="5"/>
    <x v="491"/>
    <s v="481 Main St"/>
    <s v="Cash"/>
    <n v="5"/>
    <s v="Facebook"/>
    <n v="2103.5"/>
  </r>
  <r>
    <s v="ORD200492"/>
    <s v="C39074"/>
    <x v="5"/>
    <n v="5"/>
    <x v="492"/>
    <s v="103 Main St"/>
    <s v="Debit Card"/>
    <n v="6"/>
    <s v="Instagram"/>
    <n v="3032.6"/>
  </r>
  <r>
    <s v="ORD200493"/>
    <s v="C84908"/>
    <x v="1"/>
    <n v="1"/>
    <x v="493"/>
    <s v="372 Main St"/>
    <s v="Credit Card"/>
    <n v="4"/>
    <s v="Facebook"/>
    <n v="420.26"/>
  </r>
  <r>
    <s v="ORD200494"/>
    <s v="C64516"/>
    <x v="5"/>
    <n v="3"/>
    <x v="494"/>
    <s v="459 Main St"/>
    <s v="Debit Card"/>
    <n v="3"/>
    <s v="Referral"/>
    <n v="1517.37"/>
  </r>
  <r>
    <s v="ORD200495"/>
    <s v="C63827"/>
    <x v="1"/>
    <n v="4"/>
    <x v="495"/>
    <s v="947 Main St"/>
    <s v="Debit Card"/>
    <n v="6"/>
    <s v="Facebook"/>
    <n v="1974.92"/>
  </r>
  <r>
    <s v="ORD200496"/>
    <s v="C93618"/>
    <x v="4"/>
    <n v="3"/>
    <x v="496"/>
    <s v="249 Main St"/>
    <s v="Online"/>
    <n v="3"/>
    <s v="Google"/>
    <n v="603.63"/>
  </r>
  <r>
    <s v="ORD200497"/>
    <s v="C93948"/>
    <x v="4"/>
    <n v="3"/>
    <x v="497"/>
    <s v="454 Main St"/>
    <s v="Gift Card"/>
    <n v="6"/>
    <s v="Google"/>
    <n v="336.87"/>
  </r>
  <r>
    <s v="ORD200498"/>
    <s v="C73961"/>
    <x v="2"/>
    <n v="4"/>
    <x v="498"/>
    <s v="306 Main St"/>
    <s v="Cash"/>
    <n v="8"/>
    <s v="Instagram"/>
    <n v="530.24"/>
  </r>
  <r>
    <s v="ORD200499"/>
    <s v="C18138"/>
    <x v="4"/>
    <n v="3"/>
    <x v="499"/>
    <s v="520 Main St"/>
    <s v="Credit Card"/>
    <n v="4"/>
    <s v="Facebook"/>
    <n v="1618.38"/>
  </r>
  <r>
    <s v="ORD200500"/>
    <s v="C79475"/>
    <x v="5"/>
    <n v="5"/>
    <x v="500"/>
    <s v="169 Main St"/>
    <s v="Cash"/>
    <n v="8"/>
    <s v="Facebook"/>
    <n v="2542.9499999999998"/>
  </r>
  <r>
    <s v="ORD200501"/>
    <s v="C88546"/>
    <x v="6"/>
    <n v="4"/>
    <x v="501"/>
    <s v="226 Main St"/>
    <s v="Credit Card"/>
    <n v="7"/>
    <s v="Referral"/>
    <n v="813.84"/>
  </r>
  <r>
    <s v="ORD200502"/>
    <s v="C69332"/>
    <x v="0"/>
    <n v="3"/>
    <x v="502"/>
    <s v="745 Main St"/>
    <s v="Debit Card"/>
    <n v="7"/>
    <s v="Email"/>
    <n v="1695.75"/>
  </r>
  <r>
    <s v="ORD200503"/>
    <s v="C64554"/>
    <x v="2"/>
    <n v="3"/>
    <x v="503"/>
    <s v="498 Main St"/>
    <s v="Online"/>
    <n v="4"/>
    <s v="Facebook"/>
    <n v="410.52"/>
  </r>
  <r>
    <s v="ORD200504"/>
    <s v="C11676"/>
    <x v="0"/>
    <n v="2"/>
    <x v="504"/>
    <s v="805 Main St"/>
    <s v="Online"/>
    <n v="2"/>
    <s v="Instagram"/>
    <n v="929"/>
  </r>
  <r>
    <s v="ORD200505"/>
    <s v="C36014"/>
    <x v="4"/>
    <n v="2"/>
    <x v="505"/>
    <s v="558 Main St"/>
    <s v="Online"/>
    <n v="7"/>
    <s v="Email"/>
    <n v="869.94"/>
  </r>
  <r>
    <s v="ORD200506"/>
    <s v="C23279"/>
    <x v="0"/>
    <n v="2"/>
    <x v="506"/>
    <s v="696 Main St"/>
    <s v="Cash"/>
    <n v="4"/>
    <s v="Instagram"/>
    <n v="87.34"/>
  </r>
  <r>
    <s v="ORD200507"/>
    <s v="C86481"/>
    <x v="1"/>
    <n v="1"/>
    <x v="507"/>
    <s v="546 Main St"/>
    <s v="Credit Card"/>
    <n v="5"/>
    <s v="Email"/>
    <n v="171.59"/>
  </r>
  <r>
    <s v="ORD200508"/>
    <s v="C39550"/>
    <x v="1"/>
    <n v="1"/>
    <x v="508"/>
    <s v="976 Main St"/>
    <s v="Online"/>
    <n v="1"/>
    <s v="Referral"/>
    <n v="558.27"/>
  </r>
  <r>
    <s v="ORD200509"/>
    <s v="C68937"/>
    <x v="5"/>
    <n v="2"/>
    <x v="509"/>
    <s v="560 Main St"/>
    <s v="Cash"/>
    <n v="2"/>
    <s v="Google"/>
    <n v="850.06"/>
  </r>
  <r>
    <s v="ORD200510"/>
    <s v="C72533"/>
    <x v="4"/>
    <n v="1"/>
    <x v="510"/>
    <s v="389 Main St"/>
    <s v="Debit Card"/>
    <n v="5"/>
    <s v="Email"/>
    <n v="376.76"/>
  </r>
  <r>
    <s v="ORD200511"/>
    <s v="C11415"/>
    <x v="0"/>
    <n v="5"/>
    <x v="511"/>
    <s v="267 Main St"/>
    <s v="Cash"/>
    <n v="7"/>
    <s v="Email"/>
    <n v="2876.2"/>
  </r>
  <r>
    <s v="ORD200512"/>
    <s v="C14114"/>
    <x v="6"/>
    <n v="3"/>
    <x v="512"/>
    <s v="856 Main St"/>
    <s v="Online"/>
    <n v="3"/>
    <s v="Instagram"/>
    <n v="1704.06"/>
  </r>
  <r>
    <s v="ORD200513"/>
    <s v="C64128"/>
    <x v="2"/>
    <n v="3"/>
    <x v="513"/>
    <s v="533 Main St"/>
    <s v="Gift Card"/>
    <n v="8"/>
    <s v="Referral"/>
    <n v="284.64"/>
  </r>
  <r>
    <s v="ORD200514"/>
    <s v="C15629"/>
    <x v="4"/>
    <n v="3"/>
    <x v="514"/>
    <s v="492 Main St"/>
    <s v="Gift Card"/>
    <n v="3"/>
    <s v="Instagram"/>
    <n v="912.44999999999993"/>
  </r>
  <r>
    <s v="ORD200515"/>
    <s v="C67561"/>
    <x v="1"/>
    <n v="3"/>
    <x v="515"/>
    <s v="160 Main St"/>
    <s v="Gift Card"/>
    <n v="4"/>
    <s v="Facebook"/>
    <n v="1660.56"/>
  </r>
  <r>
    <s v="ORD200516"/>
    <s v="C47022"/>
    <x v="0"/>
    <n v="3"/>
    <x v="516"/>
    <s v="208 Main St"/>
    <s v="Cash"/>
    <n v="8"/>
    <s v="Facebook"/>
    <n v="500.97"/>
  </r>
  <r>
    <s v="ORD200517"/>
    <s v="C55205"/>
    <x v="2"/>
    <n v="4"/>
    <x v="517"/>
    <s v="943 Main St"/>
    <s v="Cash"/>
    <n v="7"/>
    <s v="Google"/>
    <n v="793.4"/>
  </r>
  <r>
    <s v="ORD200518"/>
    <s v="C30686"/>
    <x v="4"/>
    <n v="4"/>
    <x v="518"/>
    <s v="319 Main St"/>
    <s v="Online"/>
    <n v="9"/>
    <s v="Referral"/>
    <n v="1614.32"/>
  </r>
  <r>
    <s v="ORD200519"/>
    <s v="C71797"/>
    <x v="5"/>
    <n v="4"/>
    <x v="519"/>
    <s v="941 Main St"/>
    <s v="Debit Card"/>
    <n v="5"/>
    <s v="Email"/>
    <n v="1857.16"/>
  </r>
  <r>
    <s v="ORD200520"/>
    <s v="C66332"/>
    <x v="0"/>
    <n v="3"/>
    <x v="520"/>
    <s v="959 Main St"/>
    <s v="Cash"/>
    <n v="5"/>
    <s v="Referral"/>
    <n v="1907.94"/>
  </r>
  <r>
    <s v="ORD200521"/>
    <s v="C82318"/>
    <x v="1"/>
    <n v="1"/>
    <x v="521"/>
    <s v="991 Main St"/>
    <s v="Credit Card"/>
    <n v="2"/>
    <s v="Facebook"/>
    <n v="528.05999999999995"/>
  </r>
  <r>
    <s v="ORD200522"/>
    <s v="C66254"/>
    <x v="3"/>
    <n v="1"/>
    <x v="522"/>
    <s v="740 Main St"/>
    <s v="Gift Card"/>
    <n v="1"/>
    <s v="Email"/>
    <n v="515.32000000000005"/>
  </r>
  <r>
    <s v="ORD200523"/>
    <s v="C65083"/>
    <x v="6"/>
    <n v="4"/>
    <x v="523"/>
    <s v="652 Main St"/>
    <s v="Credit Card"/>
    <n v="6"/>
    <s v="Google"/>
    <n v="2631.16"/>
  </r>
  <r>
    <s v="ORD200524"/>
    <s v="C44778"/>
    <x v="1"/>
    <n v="1"/>
    <x v="524"/>
    <s v="103 Main St"/>
    <s v="Credit Card"/>
    <n v="4"/>
    <s v="Referral"/>
    <n v="153"/>
  </r>
  <r>
    <s v="ORD200525"/>
    <s v="C54499"/>
    <x v="0"/>
    <n v="1"/>
    <x v="525"/>
    <s v="160 Main St"/>
    <s v="Debit Card"/>
    <n v="1"/>
    <s v="Email"/>
    <n v="668.48"/>
  </r>
  <r>
    <s v="ORD200526"/>
    <s v="C91201"/>
    <x v="6"/>
    <n v="2"/>
    <x v="526"/>
    <s v="837 Main St"/>
    <s v="Cash"/>
    <n v="7"/>
    <s v="Google"/>
    <n v="93"/>
  </r>
  <r>
    <s v="ORD200527"/>
    <s v="C27202"/>
    <x v="3"/>
    <n v="5"/>
    <x v="527"/>
    <s v="967 Main St"/>
    <s v="Credit Card"/>
    <n v="10"/>
    <s v="Referral"/>
    <n v="3267.35"/>
  </r>
  <r>
    <s v="ORD200528"/>
    <s v="C32011"/>
    <x v="3"/>
    <n v="1"/>
    <x v="528"/>
    <s v="686 Main St"/>
    <s v="Credit Card"/>
    <n v="2"/>
    <s v="Referral"/>
    <n v="628.89"/>
  </r>
  <r>
    <s v="ORD200529"/>
    <s v="C21181"/>
    <x v="2"/>
    <n v="2"/>
    <x v="529"/>
    <s v="938 Main St"/>
    <s v="Cash"/>
    <n v="4"/>
    <s v="Google"/>
    <n v="1350.2"/>
  </r>
  <r>
    <s v="ORD200530"/>
    <s v="C98450"/>
    <x v="3"/>
    <n v="4"/>
    <x v="530"/>
    <s v="613 Main St"/>
    <s v="Online"/>
    <n v="9"/>
    <s v="Google"/>
    <n v="357.64"/>
  </r>
  <r>
    <s v="ORD200531"/>
    <s v="C64502"/>
    <x v="6"/>
    <n v="5"/>
    <x v="531"/>
    <s v="722 Main St"/>
    <s v="Gift Card"/>
    <n v="6"/>
    <s v="Referral"/>
    <n v="1600.05"/>
  </r>
  <r>
    <s v="ORD200532"/>
    <s v="C47365"/>
    <x v="5"/>
    <n v="2"/>
    <x v="532"/>
    <s v="369 Main St"/>
    <s v="Online"/>
    <n v="7"/>
    <s v="Email"/>
    <n v="82"/>
  </r>
  <r>
    <s v="ORD200533"/>
    <s v="C66349"/>
    <x v="6"/>
    <n v="1"/>
    <x v="533"/>
    <s v="715 Main St"/>
    <s v="Gift Card"/>
    <n v="1"/>
    <s v="Facebook"/>
    <n v="565.85"/>
  </r>
  <r>
    <s v="ORD200534"/>
    <s v="C73289"/>
    <x v="3"/>
    <n v="3"/>
    <x v="534"/>
    <s v="906 Main St"/>
    <s v="Debit Card"/>
    <n v="4"/>
    <s v="Email"/>
    <n v="1945.77"/>
  </r>
  <r>
    <s v="ORD200535"/>
    <s v="C48649"/>
    <x v="0"/>
    <n v="3"/>
    <x v="535"/>
    <s v="332 Main St"/>
    <s v="Online"/>
    <n v="3"/>
    <s v="Email"/>
    <n v="204.36"/>
  </r>
  <r>
    <s v="ORD200536"/>
    <s v="C18724"/>
    <x v="3"/>
    <n v="1"/>
    <x v="536"/>
    <s v="124 Main St"/>
    <s v="Cash"/>
    <n v="6"/>
    <s v="Email"/>
    <n v="616.1"/>
  </r>
  <r>
    <s v="ORD200537"/>
    <s v="C68553"/>
    <x v="2"/>
    <n v="3"/>
    <x v="537"/>
    <s v="385 Main St"/>
    <s v="Online"/>
    <n v="4"/>
    <s v="Facebook"/>
    <n v="742.41"/>
  </r>
  <r>
    <s v="ORD200538"/>
    <s v="C61280"/>
    <x v="1"/>
    <n v="3"/>
    <x v="538"/>
    <s v="100 Main St"/>
    <s v="Cash"/>
    <n v="3"/>
    <s v="Email"/>
    <n v="1472.22"/>
  </r>
  <r>
    <s v="ORD200539"/>
    <s v="C53277"/>
    <x v="6"/>
    <n v="3"/>
    <x v="539"/>
    <s v="473 Main St"/>
    <s v="Gift Card"/>
    <n v="7"/>
    <s v="Google"/>
    <n v="1595.16"/>
  </r>
  <r>
    <s v="ORD200540"/>
    <s v="C87281"/>
    <x v="5"/>
    <n v="5"/>
    <x v="540"/>
    <s v="852 Main St"/>
    <s v="Online"/>
    <n v="7"/>
    <s v="Referral"/>
    <n v="3243.25"/>
  </r>
  <r>
    <s v="ORD200541"/>
    <s v="C69009"/>
    <x v="4"/>
    <n v="5"/>
    <x v="541"/>
    <s v="879 Main St"/>
    <s v="Cash"/>
    <n v="10"/>
    <s v="Instagram"/>
    <n v="2280.3000000000002"/>
  </r>
  <r>
    <s v="ORD200542"/>
    <s v="C49726"/>
    <x v="2"/>
    <n v="1"/>
    <x v="542"/>
    <s v="934 Main St"/>
    <s v="Cash"/>
    <n v="6"/>
    <s v="Email"/>
    <n v="17.98"/>
  </r>
  <r>
    <s v="ORD200543"/>
    <s v="C37531"/>
    <x v="6"/>
    <n v="5"/>
    <x v="543"/>
    <s v="354 Main St"/>
    <s v="Cash"/>
    <n v="6"/>
    <s v="Facebook"/>
    <n v="1349.3"/>
  </r>
  <r>
    <s v="ORD200544"/>
    <s v="C48713"/>
    <x v="4"/>
    <n v="5"/>
    <x v="544"/>
    <s v="373 Main St"/>
    <s v="Credit Card"/>
    <n v="5"/>
    <s v="Referral"/>
    <n v="159.80000000000001"/>
  </r>
  <r>
    <s v="ORD200545"/>
    <s v="C74138"/>
    <x v="0"/>
    <n v="2"/>
    <x v="545"/>
    <s v="964 Main St"/>
    <s v="Cash"/>
    <n v="3"/>
    <s v="Instagram"/>
    <n v="196.94"/>
  </r>
  <r>
    <s v="ORD200546"/>
    <s v="C82399"/>
    <x v="0"/>
    <n v="1"/>
    <x v="546"/>
    <s v="928 Main St"/>
    <s v="Credit Card"/>
    <n v="6"/>
    <s v="Instagram"/>
    <n v="158.68"/>
  </r>
  <r>
    <s v="ORD200547"/>
    <s v="C40427"/>
    <x v="1"/>
    <n v="1"/>
    <x v="547"/>
    <s v="411 Main St"/>
    <s v="Online"/>
    <n v="4"/>
    <s v="Facebook"/>
    <n v="613.98"/>
  </r>
  <r>
    <s v="ORD200548"/>
    <s v="C17103"/>
    <x v="4"/>
    <n v="3"/>
    <x v="548"/>
    <s v="922 Main St"/>
    <s v="Online"/>
    <n v="5"/>
    <s v="Instagram"/>
    <n v="1278.3599999999999"/>
  </r>
  <r>
    <s v="ORD200549"/>
    <s v="C34266"/>
    <x v="0"/>
    <n v="4"/>
    <x v="549"/>
    <s v="550 Main St"/>
    <s v="Debit Card"/>
    <n v="8"/>
    <s v="Instagram"/>
    <n v="2519.52"/>
  </r>
  <r>
    <s v="ORD200550"/>
    <s v="C97485"/>
    <x v="5"/>
    <n v="4"/>
    <x v="550"/>
    <s v="573 Main St"/>
    <s v="Cash"/>
    <n v="4"/>
    <s v="Google"/>
    <n v="915.64"/>
  </r>
  <r>
    <s v="ORD200551"/>
    <s v="C23947"/>
    <x v="5"/>
    <n v="1"/>
    <x v="551"/>
    <s v="353 Main St"/>
    <s v="Debit Card"/>
    <n v="6"/>
    <s v="Email"/>
    <n v="120.98"/>
  </r>
  <r>
    <s v="ORD200552"/>
    <s v="C21665"/>
    <x v="3"/>
    <n v="4"/>
    <x v="552"/>
    <s v="560 Main St"/>
    <s v="Online"/>
    <n v="8"/>
    <s v="Facebook"/>
    <n v="1700.72"/>
  </r>
  <r>
    <s v="ORD200553"/>
    <s v="C82550"/>
    <x v="1"/>
    <n v="2"/>
    <x v="553"/>
    <s v="828 Main St"/>
    <s v="Gift Card"/>
    <n v="4"/>
    <s v="Referral"/>
    <n v="667.66"/>
  </r>
  <r>
    <s v="ORD200554"/>
    <s v="C61943"/>
    <x v="5"/>
    <n v="2"/>
    <x v="554"/>
    <s v="610 Main St"/>
    <s v="Cash"/>
    <n v="5"/>
    <s v="Instagram"/>
    <n v="985.8"/>
  </r>
  <r>
    <s v="ORD200555"/>
    <s v="C88933"/>
    <x v="2"/>
    <n v="1"/>
    <x v="555"/>
    <s v="333 Main St"/>
    <s v="Cash"/>
    <n v="2"/>
    <s v="Facebook"/>
    <n v="92.04"/>
  </r>
  <r>
    <s v="ORD200556"/>
    <s v="C30923"/>
    <x v="5"/>
    <n v="1"/>
    <x v="556"/>
    <s v="932 Main St"/>
    <s v="Gift Card"/>
    <n v="2"/>
    <s v="Facebook"/>
    <n v="654.27"/>
  </r>
  <r>
    <s v="ORD200557"/>
    <s v="C56969"/>
    <x v="2"/>
    <n v="1"/>
    <x v="557"/>
    <s v="130 Main St"/>
    <s v="Debit Card"/>
    <n v="1"/>
    <s v="Facebook"/>
    <n v="56.2"/>
  </r>
  <r>
    <s v="ORD200558"/>
    <s v="C76766"/>
    <x v="1"/>
    <n v="4"/>
    <x v="558"/>
    <s v="485 Main St"/>
    <s v="Online"/>
    <n v="6"/>
    <s v="Instagram"/>
    <n v="2512.48"/>
  </r>
  <r>
    <s v="ORD200559"/>
    <s v="C22981"/>
    <x v="6"/>
    <n v="3"/>
    <x v="559"/>
    <s v="454 Main St"/>
    <s v="Debit Card"/>
    <n v="7"/>
    <s v="Email"/>
    <n v="472.2"/>
  </r>
  <r>
    <s v="ORD200560"/>
    <s v="C33634"/>
    <x v="0"/>
    <n v="4"/>
    <x v="560"/>
    <s v="524 Main St"/>
    <s v="Gift Card"/>
    <n v="7"/>
    <s v="Email"/>
    <n v="2355.4"/>
  </r>
  <r>
    <s v="ORD200561"/>
    <s v="C96822"/>
    <x v="4"/>
    <n v="2"/>
    <x v="561"/>
    <s v="198 Main St"/>
    <s v="Online"/>
    <n v="2"/>
    <s v="Google"/>
    <n v="989.56"/>
  </r>
  <r>
    <s v="ORD200562"/>
    <s v="C76675"/>
    <x v="5"/>
    <n v="3"/>
    <x v="562"/>
    <s v="922 Main St"/>
    <s v="Gift Card"/>
    <n v="6"/>
    <s v="Email"/>
    <n v="1991.79"/>
  </r>
  <r>
    <s v="ORD200563"/>
    <s v="C12039"/>
    <x v="5"/>
    <n v="1"/>
    <x v="563"/>
    <s v="844 Main St"/>
    <s v="Debit Card"/>
    <n v="1"/>
    <s v="Referral"/>
    <n v="132.68"/>
  </r>
  <r>
    <s v="ORD200564"/>
    <s v="C93309"/>
    <x v="6"/>
    <n v="5"/>
    <x v="564"/>
    <s v="734 Main St"/>
    <s v="Credit Card"/>
    <n v="5"/>
    <s v="Google"/>
    <n v="1821.4"/>
  </r>
  <r>
    <s v="ORD200565"/>
    <s v="C62042"/>
    <x v="2"/>
    <n v="5"/>
    <x v="565"/>
    <s v="214 Main St"/>
    <s v="Online"/>
    <n v="10"/>
    <s v="Facebook"/>
    <n v="1539.9"/>
  </r>
  <r>
    <s v="ORD200566"/>
    <s v="C83223"/>
    <x v="1"/>
    <n v="4"/>
    <x v="566"/>
    <s v="167 Main St"/>
    <s v="Cash"/>
    <n v="7"/>
    <s v="Email"/>
    <n v="650.84"/>
  </r>
  <r>
    <s v="ORD200567"/>
    <s v="C92575"/>
    <x v="3"/>
    <n v="5"/>
    <x v="567"/>
    <s v="153 Main St"/>
    <s v="Cash"/>
    <n v="10"/>
    <s v="Email"/>
    <n v="2464.6999999999998"/>
  </r>
  <r>
    <s v="ORD200568"/>
    <s v="C29072"/>
    <x v="5"/>
    <n v="2"/>
    <x v="568"/>
    <s v="312 Main St"/>
    <s v="Online"/>
    <n v="4"/>
    <s v="Google"/>
    <n v="687.98"/>
  </r>
  <r>
    <s v="ORD200569"/>
    <s v="C25783"/>
    <x v="6"/>
    <n v="5"/>
    <x v="569"/>
    <s v="672 Main St"/>
    <s v="Cash"/>
    <n v="8"/>
    <s v="Instagram"/>
    <n v="1253.4000000000001"/>
  </r>
  <r>
    <s v="ORD200570"/>
    <s v="C63727"/>
    <x v="6"/>
    <n v="2"/>
    <x v="570"/>
    <s v="122 Main St"/>
    <s v="Debit Card"/>
    <n v="2"/>
    <s v="Instagram"/>
    <n v="724.28"/>
  </r>
  <r>
    <s v="ORD200571"/>
    <s v="C42365"/>
    <x v="2"/>
    <n v="1"/>
    <x v="571"/>
    <s v="867 Main St"/>
    <s v="Gift Card"/>
    <n v="2"/>
    <s v="Google"/>
    <n v="214.08"/>
  </r>
  <r>
    <s v="ORD200572"/>
    <s v="C27438"/>
    <x v="4"/>
    <n v="1"/>
    <x v="572"/>
    <s v="341 Main St"/>
    <s v="Cash"/>
    <n v="4"/>
    <s v="Facebook"/>
    <n v="70.319999999999993"/>
  </r>
  <r>
    <s v="ORD200573"/>
    <s v="C13205"/>
    <x v="3"/>
    <n v="5"/>
    <x v="573"/>
    <s v="522 Main St"/>
    <s v="Debit Card"/>
    <n v="7"/>
    <s v="Instagram"/>
    <n v="2107.1"/>
  </r>
  <r>
    <s v="ORD200574"/>
    <s v="C29685"/>
    <x v="3"/>
    <n v="5"/>
    <x v="574"/>
    <s v="275 Main St"/>
    <s v="Credit Card"/>
    <n v="6"/>
    <s v="Email"/>
    <n v="1923.45"/>
  </r>
  <r>
    <s v="ORD200575"/>
    <s v="C74005"/>
    <x v="3"/>
    <n v="5"/>
    <x v="575"/>
    <s v="528 Main St"/>
    <s v="Gift Card"/>
    <n v="7"/>
    <s v="Google"/>
    <n v="2240.75"/>
  </r>
  <r>
    <s v="ORD200576"/>
    <s v="C14457"/>
    <x v="5"/>
    <n v="5"/>
    <x v="576"/>
    <s v="747 Main St"/>
    <s v="Cash"/>
    <n v="8"/>
    <s v="Facebook"/>
    <n v="395.4"/>
  </r>
  <r>
    <s v="ORD200577"/>
    <s v="C77046"/>
    <x v="2"/>
    <n v="4"/>
    <x v="577"/>
    <s v="967 Main St"/>
    <s v="Online"/>
    <n v="9"/>
    <s v="Google"/>
    <n v="741.64"/>
  </r>
  <r>
    <s v="ORD200578"/>
    <s v="C50415"/>
    <x v="0"/>
    <n v="5"/>
    <x v="578"/>
    <s v="587 Main St"/>
    <s v="Credit Card"/>
    <n v="6"/>
    <s v="Instagram"/>
    <n v="2830.35"/>
  </r>
  <r>
    <s v="ORD200579"/>
    <s v="C73999"/>
    <x v="2"/>
    <n v="2"/>
    <x v="579"/>
    <s v="413 Main St"/>
    <s v="Online"/>
    <n v="4"/>
    <s v="Facebook"/>
    <n v="375.76"/>
  </r>
  <r>
    <s v="ORD200580"/>
    <s v="C71076"/>
    <x v="0"/>
    <n v="2"/>
    <x v="580"/>
    <s v="340 Main St"/>
    <s v="Credit Card"/>
    <n v="4"/>
    <s v="Instagram"/>
    <n v="511.98"/>
  </r>
  <r>
    <s v="ORD200581"/>
    <s v="C44674"/>
    <x v="5"/>
    <n v="1"/>
    <x v="581"/>
    <s v="942 Main St"/>
    <s v="Online"/>
    <n v="1"/>
    <s v="Referral"/>
    <n v="627.34"/>
  </r>
  <r>
    <s v="ORD200582"/>
    <s v="C15228"/>
    <x v="2"/>
    <n v="3"/>
    <x v="582"/>
    <s v="558 Main St"/>
    <s v="Gift Card"/>
    <n v="8"/>
    <s v="Google"/>
    <n v="1422.42"/>
  </r>
  <r>
    <s v="ORD200583"/>
    <s v="C27072"/>
    <x v="3"/>
    <n v="3"/>
    <x v="583"/>
    <s v="996 Main St"/>
    <s v="Gift Card"/>
    <n v="4"/>
    <s v="Instagram"/>
    <n v="463.11"/>
  </r>
  <r>
    <s v="ORD200584"/>
    <s v="C15257"/>
    <x v="3"/>
    <n v="4"/>
    <x v="584"/>
    <s v="626 Main St"/>
    <s v="Online"/>
    <n v="6"/>
    <s v="Google"/>
    <n v="580.20000000000005"/>
  </r>
  <r>
    <s v="ORD200585"/>
    <s v="C91486"/>
    <x v="2"/>
    <n v="4"/>
    <x v="585"/>
    <s v="907 Main St"/>
    <s v="Cash"/>
    <n v="8"/>
    <s v="Google"/>
    <n v="268.32"/>
  </r>
  <r>
    <s v="ORD200586"/>
    <s v="C17389"/>
    <x v="0"/>
    <n v="1"/>
    <x v="586"/>
    <s v="905 Main St"/>
    <s v="Gift Card"/>
    <n v="5"/>
    <s v="Referral"/>
    <n v="522.08000000000004"/>
  </r>
  <r>
    <s v="ORD200587"/>
    <s v="C18820"/>
    <x v="0"/>
    <n v="5"/>
    <x v="587"/>
    <s v="347 Main St"/>
    <s v="Gift Card"/>
    <n v="10"/>
    <s v="Instagram"/>
    <n v="2573"/>
  </r>
  <r>
    <s v="ORD200588"/>
    <s v="C61849"/>
    <x v="0"/>
    <n v="4"/>
    <x v="588"/>
    <s v="811 Main St"/>
    <s v="Credit Card"/>
    <n v="9"/>
    <s v="Google"/>
    <n v="2311.2800000000002"/>
  </r>
  <r>
    <s v="ORD200589"/>
    <s v="C84041"/>
    <x v="5"/>
    <n v="2"/>
    <x v="589"/>
    <s v="900 Main St"/>
    <s v="Cash"/>
    <n v="3"/>
    <s v="Referral"/>
    <n v="1001.6"/>
  </r>
  <r>
    <s v="ORD200590"/>
    <s v="C55757"/>
    <x v="4"/>
    <n v="2"/>
    <x v="590"/>
    <s v="175 Main St"/>
    <s v="Gift Card"/>
    <n v="4"/>
    <s v="Email"/>
    <n v="922.26"/>
  </r>
  <r>
    <s v="ORD200591"/>
    <s v="C18187"/>
    <x v="5"/>
    <n v="1"/>
    <x v="591"/>
    <s v="470 Main St"/>
    <s v="Gift Card"/>
    <n v="3"/>
    <s v="Referral"/>
    <n v="605.28"/>
  </r>
  <r>
    <s v="ORD200592"/>
    <s v="C42306"/>
    <x v="1"/>
    <n v="3"/>
    <x v="592"/>
    <s v="938 Main St"/>
    <s v="Online"/>
    <n v="4"/>
    <s v="Google"/>
    <n v="612.81000000000006"/>
  </r>
  <r>
    <s v="ORD200593"/>
    <s v="C51024"/>
    <x v="0"/>
    <n v="1"/>
    <x v="593"/>
    <s v="636 Main St"/>
    <s v="Gift Card"/>
    <n v="4"/>
    <s v="Facebook"/>
    <n v="489.8"/>
  </r>
  <r>
    <s v="ORD200594"/>
    <s v="C40140"/>
    <x v="1"/>
    <n v="5"/>
    <x v="594"/>
    <s v="598 Main St"/>
    <s v="Credit Card"/>
    <n v="7"/>
    <s v="Email"/>
    <n v="363.2"/>
  </r>
  <r>
    <s v="ORD200595"/>
    <s v="C72596"/>
    <x v="4"/>
    <n v="2"/>
    <x v="595"/>
    <s v="491 Main St"/>
    <s v="Online"/>
    <n v="7"/>
    <s v="Email"/>
    <n v="770.32"/>
  </r>
  <r>
    <s v="ORD200596"/>
    <s v="C91805"/>
    <x v="6"/>
    <n v="3"/>
    <x v="596"/>
    <s v="653 Main St"/>
    <s v="Debit Card"/>
    <n v="7"/>
    <s v="Facebook"/>
    <n v="1819.23"/>
  </r>
  <r>
    <s v="ORD200597"/>
    <s v="C40538"/>
    <x v="6"/>
    <n v="2"/>
    <x v="597"/>
    <s v="700 Main St"/>
    <s v="Gift Card"/>
    <n v="4"/>
    <s v="Email"/>
    <n v="423.64"/>
  </r>
  <r>
    <s v="ORD200598"/>
    <s v="C60329"/>
    <x v="6"/>
    <n v="5"/>
    <x v="598"/>
    <s v="826 Main St"/>
    <s v="Credit Card"/>
    <n v="5"/>
    <s v="Facebook"/>
    <n v="2476.75"/>
  </r>
  <r>
    <s v="ORD200599"/>
    <s v="C28740"/>
    <x v="3"/>
    <n v="3"/>
    <x v="599"/>
    <s v="123 Main St"/>
    <s v="Online"/>
    <n v="4"/>
    <s v="Facebook"/>
    <n v="1670.97"/>
  </r>
  <r>
    <s v="ORD200600"/>
    <s v="C87051"/>
    <x v="4"/>
    <n v="1"/>
    <x v="600"/>
    <s v="460 Main St"/>
    <s v="Gift Card"/>
    <n v="1"/>
    <s v="Facebook"/>
    <n v="72.31"/>
  </r>
  <r>
    <s v="ORD200601"/>
    <s v="C12479"/>
    <x v="0"/>
    <n v="5"/>
    <x v="601"/>
    <s v="529 Main St"/>
    <s v="Credit Card"/>
    <n v="10"/>
    <s v="Referral"/>
    <n v="124.1"/>
  </r>
  <r>
    <s v="ORD200602"/>
    <s v="C35852"/>
    <x v="2"/>
    <n v="4"/>
    <x v="602"/>
    <s v="982 Main St"/>
    <s v="Online"/>
    <n v="5"/>
    <s v="Instagram"/>
    <n v="104.16"/>
  </r>
  <r>
    <s v="ORD200603"/>
    <s v="C26223"/>
    <x v="2"/>
    <n v="1"/>
    <x v="603"/>
    <s v="800 Main St"/>
    <s v="Cash"/>
    <n v="4"/>
    <s v="Google"/>
    <n v="657.07"/>
  </r>
  <r>
    <s v="ORD200604"/>
    <s v="C99214"/>
    <x v="3"/>
    <n v="3"/>
    <x v="604"/>
    <s v="252 Main St"/>
    <s v="Debit Card"/>
    <n v="6"/>
    <s v="Facebook"/>
    <n v="97.859999999999985"/>
  </r>
  <r>
    <s v="ORD200605"/>
    <s v="C49605"/>
    <x v="0"/>
    <n v="2"/>
    <x v="550"/>
    <s v="892 Main St"/>
    <s v="Debit Card"/>
    <n v="4"/>
    <s v="Referral"/>
    <n v="457.82"/>
  </r>
  <r>
    <s v="ORD200606"/>
    <s v="C85018"/>
    <x v="5"/>
    <n v="3"/>
    <x v="605"/>
    <s v="783 Main St"/>
    <s v="Cash"/>
    <n v="3"/>
    <s v="Google"/>
    <n v="824.25"/>
  </r>
  <r>
    <s v="ORD200607"/>
    <s v="C96434"/>
    <x v="4"/>
    <n v="4"/>
    <x v="606"/>
    <s v="282 Main St"/>
    <s v="Cash"/>
    <n v="6"/>
    <s v="Google"/>
    <n v="2536.1999999999998"/>
  </r>
  <r>
    <s v="ORD200608"/>
    <s v="C32956"/>
    <x v="5"/>
    <n v="5"/>
    <x v="607"/>
    <s v="788 Main St"/>
    <s v="Online"/>
    <n v="6"/>
    <s v="Instagram"/>
    <n v="2715.8"/>
  </r>
  <r>
    <s v="ORD200609"/>
    <s v="C41137"/>
    <x v="3"/>
    <n v="3"/>
    <x v="608"/>
    <s v="809 Main St"/>
    <s v="Cash"/>
    <n v="5"/>
    <s v="Referral"/>
    <n v="1347.39"/>
  </r>
  <r>
    <s v="ORD200610"/>
    <s v="C60361"/>
    <x v="6"/>
    <n v="5"/>
    <x v="609"/>
    <s v="623 Main St"/>
    <s v="Cash"/>
    <n v="7"/>
    <s v="Facebook"/>
    <n v="1948.1"/>
  </r>
  <r>
    <s v="ORD200611"/>
    <s v="C36688"/>
    <x v="6"/>
    <n v="1"/>
    <x v="610"/>
    <s v="700 Main St"/>
    <s v="Gift Card"/>
    <n v="3"/>
    <s v="Referral"/>
    <n v="305.17"/>
  </r>
  <r>
    <s v="ORD200612"/>
    <s v="C51811"/>
    <x v="3"/>
    <n v="3"/>
    <x v="611"/>
    <s v="339 Main St"/>
    <s v="Gift Card"/>
    <n v="8"/>
    <s v="Google"/>
    <n v="1335.36"/>
  </r>
  <r>
    <s v="ORD200613"/>
    <s v="C62405"/>
    <x v="5"/>
    <n v="2"/>
    <x v="612"/>
    <s v="154 Main St"/>
    <s v="Online"/>
    <n v="4"/>
    <s v="Email"/>
    <n v="460.72"/>
  </r>
  <r>
    <s v="ORD200614"/>
    <s v="C77363"/>
    <x v="1"/>
    <n v="1"/>
    <x v="613"/>
    <s v="807 Main St"/>
    <s v="Gift Card"/>
    <n v="3"/>
    <s v="Referral"/>
    <n v="96.81"/>
  </r>
  <r>
    <s v="ORD200615"/>
    <s v="C97218"/>
    <x v="0"/>
    <n v="5"/>
    <x v="614"/>
    <s v="252 Main St"/>
    <s v="Credit Card"/>
    <n v="10"/>
    <s v="Facebook"/>
    <n v="2300.6999999999998"/>
  </r>
  <r>
    <s v="ORD200616"/>
    <s v="C43919"/>
    <x v="2"/>
    <n v="3"/>
    <x v="615"/>
    <s v="984 Main St"/>
    <s v="Credit Card"/>
    <n v="7"/>
    <s v="Facebook"/>
    <n v="1804.8"/>
  </r>
  <r>
    <s v="ORD200617"/>
    <s v="C57093"/>
    <x v="2"/>
    <n v="3"/>
    <x v="616"/>
    <s v="834 Main St"/>
    <s v="Online"/>
    <n v="4"/>
    <s v="Referral"/>
    <n v="553.41"/>
  </r>
  <r>
    <s v="ORD200618"/>
    <s v="C50565"/>
    <x v="2"/>
    <n v="1"/>
    <x v="617"/>
    <s v="399 Main St"/>
    <s v="Debit Card"/>
    <n v="5"/>
    <s v="Instagram"/>
    <n v="411.34"/>
  </r>
  <r>
    <s v="ORD200619"/>
    <s v="C38845"/>
    <x v="5"/>
    <n v="1"/>
    <x v="618"/>
    <s v="764 Main St"/>
    <s v="Gift Card"/>
    <n v="2"/>
    <s v="Referral"/>
    <n v="532.89"/>
  </r>
  <r>
    <s v="ORD200620"/>
    <s v="C84834"/>
    <x v="2"/>
    <n v="3"/>
    <x v="619"/>
    <s v="866 Main St"/>
    <s v="Debit Card"/>
    <n v="8"/>
    <s v="Referral"/>
    <n v="409.02"/>
  </r>
  <r>
    <s v="ORD200621"/>
    <s v="C37455"/>
    <x v="1"/>
    <n v="5"/>
    <x v="620"/>
    <s v="146 Main St"/>
    <s v="Credit Card"/>
    <n v="7"/>
    <s v="Google"/>
    <n v="2380.0500000000002"/>
  </r>
  <r>
    <s v="ORD200622"/>
    <s v="C27078"/>
    <x v="6"/>
    <n v="5"/>
    <x v="621"/>
    <s v="128 Main St"/>
    <s v="Credit Card"/>
    <n v="7"/>
    <s v="Facebook"/>
    <n v="1181.9000000000001"/>
  </r>
  <r>
    <s v="ORD200623"/>
    <s v="C91941"/>
    <x v="4"/>
    <n v="3"/>
    <x v="622"/>
    <s v="269 Main St"/>
    <s v="Gift Card"/>
    <n v="4"/>
    <s v="Instagram"/>
    <n v="1188"/>
  </r>
  <r>
    <s v="ORD200624"/>
    <s v="C25967"/>
    <x v="2"/>
    <n v="5"/>
    <x v="623"/>
    <s v="747 Main St"/>
    <s v="Debit Card"/>
    <n v="6"/>
    <s v="Email"/>
    <n v="1709.8"/>
  </r>
  <r>
    <s v="ORD200625"/>
    <s v="C22123"/>
    <x v="2"/>
    <n v="1"/>
    <x v="624"/>
    <s v="519 Main St"/>
    <s v="Credit Card"/>
    <n v="1"/>
    <s v="Email"/>
    <n v="672.89"/>
  </r>
  <r>
    <s v="ORD200626"/>
    <s v="C45671"/>
    <x v="2"/>
    <n v="2"/>
    <x v="625"/>
    <s v="769 Main St"/>
    <s v="Online"/>
    <n v="5"/>
    <s v="Referral"/>
    <n v="1314.96"/>
  </r>
  <r>
    <s v="ORD200627"/>
    <s v="C53334"/>
    <x v="3"/>
    <n v="3"/>
    <x v="626"/>
    <s v="879 Main St"/>
    <s v="Online"/>
    <n v="4"/>
    <s v="Email"/>
    <n v="1496.04"/>
  </r>
  <r>
    <s v="ORD200628"/>
    <s v="C18717"/>
    <x v="4"/>
    <n v="5"/>
    <x v="627"/>
    <s v="861 Main St"/>
    <s v="Cash"/>
    <n v="8"/>
    <s v="Referral"/>
    <n v="2793.15"/>
  </r>
  <r>
    <s v="ORD200629"/>
    <s v="C50137"/>
    <x v="1"/>
    <n v="3"/>
    <x v="628"/>
    <s v="840 Main St"/>
    <s v="Online"/>
    <n v="3"/>
    <s v="Referral"/>
    <n v="59.19"/>
  </r>
  <r>
    <s v="ORD200630"/>
    <s v="C51481"/>
    <x v="0"/>
    <n v="5"/>
    <x v="629"/>
    <s v="140 Main St"/>
    <s v="Debit Card"/>
    <n v="10"/>
    <s v="Instagram"/>
    <n v="1244.2"/>
  </r>
  <r>
    <s v="ORD200631"/>
    <s v="C99128"/>
    <x v="3"/>
    <n v="3"/>
    <x v="630"/>
    <s v="360 Main St"/>
    <s v="Gift Card"/>
    <n v="5"/>
    <s v="Referral"/>
    <n v="138.33000000000001"/>
  </r>
  <r>
    <s v="ORD200632"/>
    <s v="C67260"/>
    <x v="5"/>
    <n v="5"/>
    <x v="631"/>
    <s v="463 Main St"/>
    <s v="Gift Card"/>
    <n v="7"/>
    <s v="Facebook"/>
    <n v="3390.8"/>
  </r>
  <r>
    <s v="ORD200633"/>
    <s v="C79533"/>
    <x v="5"/>
    <n v="5"/>
    <x v="632"/>
    <s v="921 Main St"/>
    <s v="Gift Card"/>
    <n v="5"/>
    <s v="Instagram"/>
    <n v="3008.6"/>
  </r>
  <r>
    <s v="ORD200634"/>
    <s v="C66906"/>
    <x v="4"/>
    <n v="2"/>
    <x v="633"/>
    <s v="117 Main St"/>
    <s v="Gift Card"/>
    <n v="2"/>
    <s v="Referral"/>
    <n v="518.64"/>
  </r>
  <r>
    <s v="ORD200635"/>
    <s v="C12818"/>
    <x v="3"/>
    <n v="3"/>
    <x v="634"/>
    <s v="434 Main St"/>
    <s v="Cash"/>
    <n v="6"/>
    <s v="Facebook"/>
    <n v="191.04"/>
  </r>
  <r>
    <s v="ORD200636"/>
    <s v="C60384"/>
    <x v="5"/>
    <n v="4"/>
    <x v="635"/>
    <s v="336 Main St"/>
    <s v="Cash"/>
    <n v="7"/>
    <s v="Facebook"/>
    <n v="1484.28"/>
  </r>
  <r>
    <s v="ORD200637"/>
    <s v="C92294"/>
    <x v="3"/>
    <n v="4"/>
    <x v="636"/>
    <s v="784 Main St"/>
    <s v="Gift Card"/>
    <n v="7"/>
    <s v="Referral"/>
    <n v="1225.4000000000001"/>
  </r>
  <r>
    <s v="ORD200638"/>
    <s v="C66840"/>
    <x v="2"/>
    <n v="4"/>
    <x v="637"/>
    <s v="547 Main St"/>
    <s v="Online"/>
    <n v="9"/>
    <s v="Email"/>
    <n v="2313.08"/>
  </r>
  <r>
    <s v="ORD200639"/>
    <s v="C22534"/>
    <x v="3"/>
    <n v="1"/>
    <x v="638"/>
    <s v="391 Main St"/>
    <s v="Cash"/>
    <n v="5"/>
    <s v="Referral"/>
    <n v="529.19000000000005"/>
  </r>
  <r>
    <s v="ORD200640"/>
    <s v="C46509"/>
    <x v="3"/>
    <n v="2"/>
    <x v="639"/>
    <s v="647 Main St"/>
    <s v="Gift Card"/>
    <n v="6"/>
    <s v="Referral"/>
    <n v="1174.98"/>
  </r>
  <r>
    <s v="ORD200641"/>
    <s v="C71680"/>
    <x v="4"/>
    <n v="4"/>
    <x v="640"/>
    <s v="814 Main St"/>
    <s v="Debit Card"/>
    <n v="9"/>
    <s v="Google"/>
    <n v="2270.2800000000002"/>
  </r>
  <r>
    <s v="ORD200642"/>
    <s v="C15063"/>
    <x v="3"/>
    <n v="5"/>
    <x v="641"/>
    <s v="527 Main St"/>
    <s v="Credit Card"/>
    <n v="7"/>
    <s v="Email"/>
    <n v="426.1"/>
  </r>
  <r>
    <s v="ORD200643"/>
    <s v="C77122"/>
    <x v="5"/>
    <n v="1"/>
    <x v="642"/>
    <s v="647 Main St"/>
    <s v="Cash"/>
    <n v="4"/>
    <s v="Referral"/>
    <n v="438.37"/>
  </r>
  <r>
    <s v="ORD200644"/>
    <s v="C86524"/>
    <x v="3"/>
    <n v="2"/>
    <x v="643"/>
    <s v="961 Main St"/>
    <s v="Cash"/>
    <n v="2"/>
    <s v="Email"/>
    <n v="732.46"/>
  </r>
  <r>
    <s v="ORD200645"/>
    <s v="C82990"/>
    <x v="5"/>
    <n v="2"/>
    <x v="644"/>
    <s v="727 Main St"/>
    <s v="Credit Card"/>
    <n v="4"/>
    <s v="Facebook"/>
    <n v="300.10000000000002"/>
  </r>
  <r>
    <s v="ORD200646"/>
    <s v="C98761"/>
    <x v="3"/>
    <n v="4"/>
    <x v="645"/>
    <s v="804 Main St"/>
    <s v="Debit Card"/>
    <n v="4"/>
    <s v="Google"/>
    <n v="1994.04"/>
  </r>
  <r>
    <s v="ORD200647"/>
    <s v="C54409"/>
    <x v="6"/>
    <n v="3"/>
    <x v="646"/>
    <s v="667 Main St"/>
    <s v="Cash"/>
    <n v="7"/>
    <s v="Google"/>
    <n v="1018.17"/>
  </r>
  <r>
    <s v="ORD200648"/>
    <s v="C89674"/>
    <x v="0"/>
    <n v="2"/>
    <x v="647"/>
    <s v="182 Main St"/>
    <s v="Online"/>
    <n v="3"/>
    <s v="Referral"/>
    <n v="1151.6600000000001"/>
  </r>
  <r>
    <s v="ORD200649"/>
    <s v="C45899"/>
    <x v="0"/>
    <n v="2"/>
    <x v="648"/>
    <s v="153 Main St"/>
    <s v="Debit Card"/>
    <n v="7"/>
    <s v="Email"/>
    <n v="1285.96"/>
  </r>
  <r>
    <s v="ORD200650"/>
    <s v="C74499"/>
    <x v="6"/>
    <n v="2"/>
    <x v="649"/>
    <s v="518 Main St"/>
    <s v="Gift Card"/>
    <n v="7"/>
    <s v="Email"/>
    <n v="744.46"/>
  </r>
  <r>
    <s v="ORD200651"/>
    <s v="C81192"/>
    <x v="3"/>
    <n v="3"/>
    <x v="650"/>
    <s v="429 Main St"/>
    <s v="Debit Card"/>
    <n v="5"/>
    <s v="Google"/>
    <n v="1939.02"/>
  </r>
  <r>
    <s v="ORD200652"/>
    <s v="C71473"/>
    <x v="3"/>
    <n v="5"/>
    <x v="651"/>
    <s v="328 Main St"/>
    <s v="Online"/>
    <n v="8"/>
    <s v="Instagram"/>
    <n v="1709.2"/>
  </r>
  <r>
    <s v="ORD200653"/>
    <s v="C59338"/>
    <x v="4"/>
    <n v="3"/>
    <x v="652"/>
    <s v="747 Main St"/>
    <s v="Credit Card"/>
    <n v="6"/>
    <s v="Google"/>
    <n v="2070.9"/>
  </r>
  <r>
    <s v="ORD200654"/>
    <s v="C62661"/>
    <x v="2"/>
    <n v="3"/>
    <x v="653"/>
    <s v="863 Main St"/>
    <s v="Debit Card"/>
    <n v="8"/>
    <s v="Instagram"/>
    <n v="1147.1099999999999"/>
  </r>
  <r>
    <s v="ORD200655"/>
    <s v="C22101"/>
    <x v="3"/>
    <n v="2"/>
    <x v="654"/>
    <s v="262 Main St"/>
    <s v="Debit Card"/>
    <n v="4"/>
    <s v="Email"/>
    <n v="265.2"/>
  </r>
  <r>
    <s v="ORD200656"/>
    <s v="C51404"/>
    <x v="0"/>
    <n v="2"/>
    <x v="655"/>
    <s v="835 Main St"/>
    <s v="Gift Card"/>
    <n v="7"/>
    <s v="Facebook"/>
    <n v="378.12"/>
  </r>
  <r>
    <s v="ORD200657"/>
    <s v="C19384"/>
    <x v="2"/>
    <n v="4"/>
    <x v="656"/>
    <s v="532 Main St"/>
    <s v="Cash"/>
    <n v="6"/>
    <s v="Instagram"/>
    <n v="351.16"/>
  </r>
  <r>
    <s v="ORD200658"/>
    <s v="C86864"/>
    <x v="4"/>
    <n v="2"/>
    <x v="657"/>
    <s v="670 Main St"/>
    <s v="Gift Card"/>
    <n v="4"/>
    <s v="Google"/>
    <n v="92.72"/>
  </r>
  <r>
    <s v="ORD200659"/>
    <s v="C24301"/>
    <x v="1"/>
    <n v="2"/>
    <x v="658"/>
    <s v="964 Main St"/>
    <s v="Gift Card"/>
    <n v="4"/>
    <s v="Email"/>
    <n v="1284.08"/>
  </r>
  <r>
    <s v="ORD200660"/>
    <s v="C43842"/>
    <x v="3"/>
    <n v="2"/>
    <x v="659"/>
    <s v="933 Main St"/>
    <s v="Debit Card"/>
    <n v="7"/>
    <s v="Facebook"/>
    <n v="1303.1400000000001"/>
  </r>
  <r>
    <s v="ORD200661"/>
    <s v="C63657"/>
    <x v="2"/>
    <n v="3"/>
    <x v="660"/>
    <s v="116 Main St"/>
    <s v="Debit Card"/>
    <n v="6"/>
    <s v="Google"/>
    <n v="1274.67"/>
  </r>
  <r>
    <s v="ORD200662"/>
    <s v="C98332"/>
    <x v="5"/>
    <n v="3"/>
    <x v="661"/>
    <s v="985 Main St"/>
    <s v="Cash"/>
    <n v="3"/>
    <s v="Facebook"/>
    <n v="1316.67"/>
  </r>
  <r>
    <s v="ORD200663"/>
    <s v="C59774"/>
    <x v="0"/>
    <n v="1"/>
    <x v="662"/>
    <s v="941 Main St"/>
    <s v="Debit Card"/>
    <n v="6"/>
    <s v="Instagram"/>
    <n v="72.599999999999994"/>
  </r>
  <r>
    <s v="ORD200664"/>
    <s v="C14847"/>
    <x v="5"/>
    <n v="4"/>
    <x v="663"/>
    <s v="188 Main St"/>
    <s v="Cash"/>
    <n v="5"/>
    <s v="Facebook"/>
    <n v="779"/>
  </r>
  <r>
    <s v="ORD200665"/>
    <s v="C83653"/>
    <x v="2"/>
    <n v="4"/>
    <x v="664"/>
    <s v="253 Main St"/>
    <s v="Online"/>
    <n v="6"/>
    <s v="Google"/>
    <n v="925.04"/>
  </r>
  <r>
    <s v="ORD200666"/>
    <s v="C35711"/>
    <x v="0"/>
    <n v="4"/>
    <x v="665"/>
    <s v="788 Main St"/>
    <s v="Credit Card"/>
    <n v="4"/>
    <s v="Email"/>
    <n v="1308.48"/>
  </r>
  <r>
    <s v="ORD200667"/>
    <s v="C10477"/>
    <x v="5"/>
    <n v="1"/>
    <x v="342"/>
    <s v="172 Main St"/>
    <s v="Gift Card"/>
    <n v="5"/>
    <s v="Email"/>
    <n v="466.42"/>
  </r>
  <r>
    <s v="ORD200668"/>
    <s v="C61257"/>
    <x v="0"/>
    <n v="2"/>
    <x v="666"/>
    <s v="981 Main St"/>
    <s v="Cash"/>
    <n v="3"/>
    <s v="Facebook"/>
    <n v="507.34"/>
  </r>
  <r>
    <s v="ORD200669"/>
    <s v="C60547"/>
    <x v="6"/>
    <n v="1"/>
    <x v="667"/>
    <s v="812 Main St"/>
    <s v="Debit Card"/>
    <n v="5"/>
    <s v="Referral"/>
    <n v="257"/>
  </r>
  <r>
    <s v="ORD200670"/>
    <s v="C14576"/>
    <x v="6"/>
    <n v="4"/>
    <x v="668"/>
    <s v="747 Main St"/>
    <s v="Credit Card"/>
    <n v="8"/>
    <s v="Google"/>
    <n v="2156.8000000000002"/>
  </r>
  <r>
    <s v="ORD200671"/>
    <s v="C49282"/>
    <x v="3"/>
    <n v="5"/>
    <x v="669"/>
    <s v="737 Main St"/>
    <s v="Gift Card"/>
    <n v="7"/>
    <s v="Google"/>
    <n v="253.7"/>
  </r>
  <r>
    <s v="ORD200672"/>
    <s v="C14017"/>
    <x v="1"/>
    <n v="2"/>
    <x v="670"/>
    <s v="984 Main St"/>
    <s v="Debit Card"/>
    <n v="2"/>
    <s v="Instagram"/>
    <n v="1248.32"/>
  </r>
  <r>
    <s v="ORD200673"/>
    <s v="C46504"/>
    <x v="2"/>
    <n v="2"/>
    <x v="671"/>
    <s v="131 Main St"/>
    <s v="Credit Card"/>
    <n v="7"/>
    <s v="Email"/>
    <n v="745.84"/>
  </r>
  <r>
    <s v="ORD200674"/>
    <s v="C56928"/>
    <x v="5"/>
    <n v="4"/>
    <x v="672"/>
    <s v="860 Main St"/>
    <s v="Gift Card"/>
    <n v="9"/>
    <s v="Facebook"/>
    <n v="1435"/>
  </r>
  <r>
    <s v="ORD200675"/>
    <s v="C97749"/>
    <x v="6"/>
    <n v="3"/>
    <x v="673"/>
    <s v="906 Main St"/>
    <s v="Debit Card"/>
    <n v="5"/>
    <s v="Email"/>
    <n v="1026.06"/>
  </r>
  <r>
    <s v="ORD200676"/>
    <s v="C90431"/>
    <x v="5"/>
    <n v="2"/>
    <x v="674"/>
    <s v="985 Main St"/>
    <s v="Credit Card"/>
    <n v="4"/>
    <s v="Instagram"/>
    <n v="844.68"/>
  </r>
  <r>
    <s v="ORD200677"/>
    <s v="C56722"/>
    <x v="2"/>
    <n v="5"/>
    <x v="675"/>
    <s v="179 Main St"/>
    <s v="Online"/>
    <n v="7"/>
    <s v="Instagram"/>
    <n v="110.35"/>
  </r>
  <r>
    <s v="ORD200678"/>
    <s v="C40863"/>
    <x v="3"/>
    <n v="3"/>
    <x v="676"/>
    <s v="457 Main St"/>
    <s v="Gift Card"/>
    <n v="5"/>
    <s v="Facebook"/>
    <n v="489.39"/>
  </r>
  <r>
    <s v="ORD200679"/>
    <s v="C40798"/>
    <x v="2"/>
    <n v="3"/>
    <x v="677"/>
    <s v="304 Main St"/>
    <s v="Online"/>
    <n v="5"/>
    <s v="Instagram"/>
    <n v="1081.98"/>
  </r>
  <r>
    <s v="ORD200680"/>
    <s v="C16702"/>
    <x v="0"/>
    <n v="3"/>
    <x v="678"/>
    <s v="694 Main St"/>
    <s v="Credit Card"/>
    <n v="3"/>
    <s v="Facebook"/>
    <n v="1390.17"/>
  </r>
  <r>
    <s v="ORD200681"/>
    <s v="C38262"/>
    <x v="2"/>
    <n v="1"/>
    <x v="679"/>
    <s v="548 Main St"/>
    <s v="Debit Card"/>
    <n v="6"/>
    <s v="Email"/>
    <n v="155.27000000000001"/>
  </r>
  <r>
    <s v="ORD200682"/>
    <s v="C50274"/>
    <x v="0"/>
    <n v="3"/>
    <x v="680"/>
    <s v="449 Main St"/>
    <s v="Credit Card"/>
    <n v="5"/>
    <s v="Google"/>
    <n v="1528.26"/>
  </r>
  <r>
    <s v="ORD200683"/>
    <s v="C91591"/>
    <x v="6"/>
    <n v="4"/>
    <x v="681"/>
    <s v="887 Main St"/>
    <s v="Cash"/>
    <n v="5"/>
    <s v="Instagram"/>
    <n v="2609.92"/>
  </r>
  <r>
    <s v="ORD200684"/>
    <s v="C96583"/>
    <x v="4"/>
    <n v="4"/>
    <x v="682"/>
    <s v="288 Main St"/>
    <s v="Credit Card"/>
    <n v="8"/>
    <s v="Email"/>
    <n v="139.36000000000001"/>
  </r>
  <r>
    <s v="ORD200685"/>
    <s v="C64579"/>
    <x v="6"/>
    <n v="1"/>
    <x v="683"/>
    <s v="638 Main St"/>
    <s v="Debit Card"/>
    <n v="5"/>
    <s v="Email"/>
    <n v="234.37"/>
  </r>
  <r>
    <s v="ORD200686"/>
    <s v="C41903"/>
    <x v="6"/>
    <n v="3"/>
    <x v="684"/>
    <s v="525 Main St"/>
    <s v="Cash"/>
    <n v="4"/>
    <s v="Facebook"/>
    <n v="160.80000000000001"/>
  </r>
  <r>
    <s v="ORD200687"/>
    <s v="C19742"/>
    <x v="2"/>
    <n v="1"/>
    <x v="685"/>
    <s v="408 Main St"/>
    <s v="Gift Card"/>
    <n v="5"/>
    <s v="Instagram"/>
    <n v="332.09"/>
  </r>
  <r>
    <s v="ORD200688"/>
    <s v="C20077"/>
    <x v="0"/>
    <n v="4"/>
    <x v="686"/>
    <s v="154 Main St"/>
    <s v="Credit Card"/>
    <n v="8"/>
    <s v="Facebook"/>
    <n v="2372.88"/>
  </r>
  <r>
    <s v="ORD200689"/>
    <s v="C13186"/>
    <x v="2"/>
    <n v="2"/>
    <x v="687"/>
    <s v="787 Main St"/>
    <s v="Online"/>
    <n v="7"/>
    <s v="Facebook"/>
    <n v="889.68"/>
  </r>
  <r>
    <s v="ORD200690"/>
    <s v="C29318"/>
    <x v="0"/>
    <n v="1"/>
    <x v="688"/>
    <s v="128 Main St"/>
    <s v="Gift Card"/>
    <n v="1"/>
    <s v="Instagram"/>
    <n v="24.48"/>
  </r>
  <r>
    <s v="ORD200691"/>
    <s v="C36137"/>
    <x v="5"/>
    <n v="3"/>
    <x v="689"/>
    <s v="396 Main St"/>
    <s v="Cash"/>
    <n v="8"/>
    <s v="Google"/>
    <n v="717.24"/>
  </r>
  <r>
    <s v="ORD200692"/>
    <s v="C25534"/>
    <x v="6"/>
    <n v="5"/>
    <x v="690"/>
    <s v="319 Main St"/>
    <s v="Credit Card"/>
    <n v="5"/>
    <s v="Instagram"/>
    <n v="984.2"/>
  </r>
  <r>
    <s v="ORD200693"/>
    <s v="C62070"/>
    <x v="0"/>
    <n v="1"/>
    <x v="691"/>
    <s v="674 Main St"/>
    <s v="Debit Card"/>
    <n v="4"/>
    <s v="Referral"/>
    <n v="176.58"/>
  </r>
  <r>
    <s v="ORD200694"/>
    <s v="C92049"/>
    <x v="4"/>
    <n v="4"/>
    <x v="692"/>
    <s v="619 Main St"/>
    <s v="Cash"/>
    <n v="8"/>
    <s v="Email"/>
    <n v="2666.08"/>
  </r>
  <r>
    <s v="ORD200695"/>
    <s v="C52604"/>
    <x v="4"/>
    <n v="5"/>
    <x v="693"/>
    <s v="553 Main St"/>
    <s v="Online"/>
    <n v="7"/>
    <s v="Email"/>
    <n v="506.5"/>
  </r>
  <r>
    <s v="ORD200696"/>
    <s v="C22429"/>
    <x v="3"/>
    <n v="4"/>
    <x v="694"/>
    <s v="965 Main St"/>
    <s v="Gift Card"/>
    <n v="9"/>
    <s v="Facebook"/>
    <n v="604.79999999999995"/>
  </r>
  <r>
    <s v="ORD200697"/>
    <s v="C27430"/>
    <x v="4"/>
    <n v="5"/>
    <x v="695"/>
    <s v="788 Main St"/>
    <s v="Cash"/>
    <n v="6"/>
    <s v="Email"/>
    <n v="474.25"/>
  </r>
  <r>
    <s v="ORD200698"/>
    <s v="C44366"/>
    <x v="5"/>
    <n v="2"/>
    <x v="696"/>
    <s v="169 Main St"/>
    <s v="Cash"/>
    <n v="2"/>
    <s v="Instagram"/>
    <n v="776.44"/>
  </r>
  <r>
    <s v="ORD200699"/>
    <s v="C36813"/>
    <x v="5"/>
    <n v="3"/>
    <x v="697"/>
    <s v="897 Main St"/>
    <s v="Gift Card"/>
    <n v="3"/>
    <s v="Facebook"/>
    <n v="1842.45"/>
  </r>
  <r>
    <s v="ORD200700"/>
    <s v="C40201"/>
    <x v="5"/>
    <n v="2"/>
    <x v="698"/>
    <s v="555 Main St"/>
    <s v="Cash"/>
    <n v="3"/>
    <s v="Instagram"/>
    <n v="185.82"/>
  </r>
  <r>
    <s v="ORD200701"/>
    <s v="C75456"/>
    <x v="0"/>
    <n v="3"/>
    <x v="699"/>
    <s v="115 Main St"/>
    <s v="Credit Card"/>
    <n v="5"/>
    <s v="Email"/>
    <n v="276.66000000000003"/>
  </r>
  <r>
    <s v="ORD200702"/>
    <s v="C33315"/>
    <x v="4"/>
    <n v="3"/>
    <x v="700"/>
    <s v="154 Main St"/>
    <s v="Debit Card"/>
    <n v="6"/>
    <s v="Email"/>
    <n v="1687.65"/>
  </r>
  <r>
    <s v="ORD200703"/>
    <s v="C89336"/>
    <x v="6"/>
    <n v="1"/>
    <x v="701"/>
    <s v="799 Main St"/>
    <s v="Cash"/>
    <n v="3"/>
    <s v="Email"/>
    <n v="92.79"/>
  </r>
  <r>
    <s v="ORD200704"/>
    <s v="C96034"/>
    <x v="6"/>
    <n v="4"/>
    <x v="702"/>
    <s v="819 Main St"/>
    <s v="Online"/>
    <n v="9"/>
    <s v="Google"/>
    <n v="121.08"/>
  </r>
  <r>
    <s v="ORD200705"/>
    <s v="C50114"/>
    <x v="0"/>
    <n v="2"/>
    <x v="703"/>
    <s v="420 Main St"/>
    <s v="Debit Card"/>
    <n v="7"/>
    <s v="Instagram"/>
    <n v="98.16"/>
  </r>
  <r>
    <s v="ORD200706"/>
    <s v="C85330"/>
    <x v="6"/>
    <n v="5"/>
    <x v="704"/>
    <s v="969 Main St"/>
    <s v="Gift Card"/>
    <n v="9"/>
    <s v="Facebook"/>
    <n v="1140.45"/>
  </r>
  <r>
    <s v="ORD200707"/>
    <s v="C31761"/>
    <x v="3"/>
    <n v="4"/>
    <x v="705"/>
    <s v="989 Main St"/>
    <s v="Gift Card"/>
    <n v="6"/>
    <s v="Facebook"/>
    <n v="2600.16"/>
  </r>
  <r>
    <s v="ORD200708"/>
    <s v="C25268"/>
    <x v="4"/>
    <n v="1"/>
    <x v="706"/>
    <s v="788 Main St"/>
    <s v="Cash"/>
    <n v="3"/>
    <s v="Instagram"/>
    <n v="665.11"/>
  </r>
  <r>
    <s v="ORD200709"/>
    <s v="C17132"/>
    <x v="6"/>
    <n v="1"/>
    <x v="707"/>
    <s v="855 Main St"/>
    <s v="Online"/>
    <n v="4"/>
    <s v="Google"/>
    <n v="386.03"/>
  </r>
  <r>
    <s v="ORD200710"/>
    <s v="C48790"/>
    <x v="5"/>
    <n v="5"/>
    <x v="708"/>
    <s v="113 Main St"/>
    <s v="Gift Card"/>
    <n v="10"/>
    <s v="Google"/>
    <n v="107.7"/>
  </r>
  <r>
    <s v="ORD200711"/>
    <s v="C61070"/>
    <x v="2"/>
    <n v="2"/>
    <x v="709"/>
    <s v="632 Main St"/>
    <s v="Online"/>
    <n v="2"/>
    <s v="Google"/>
    <n v="951.56"/>
  </r>
  <r>
    <s v="ORD200712"/>
    <s v="C56969"/>
    <x v="2"/>
    <n v="2"/>
    <x v="710"/>
    <s v="993 Main St"/>
    <s v="Gift Card"/>
    <n v="7"/>
    <s v="Email"/>
    <n v="136.80000000000001"/>
  </r>
  <r>
    <s v="ORD200713"/>
    <s v="C65056"/>
    <x v="2"/>
    <n v="4"/>
    <x v="711"/>
    <s v="638 Main St"/>
    <s v="Online"/>
    <n v="6"/>
    <s v="Facebook"/>
    <n v="2129.96"/>
  </r>
  <r>
    <s v="ORD200714"/>
    <s v="C84888"/>
    <x v="5"/>
    <n v="1"/>
    <x v="712"/>
    <s v="278 Main St"/>
    <s v="Debit Card"/>
    <n v="1"/>
    <s v="Facebook"/>
    <n v="51.73"/>
  </r>
  <r>
    <s v="ORD200715"/>
    <s v="C68266"/>
    <x v="4"/>
    <n v="3"/>
    <x v="713"/>
    <s v="281 Main St"/>
    <s v="Online"/>
    <n v="7"/>
    <s v="Email"/>
    <n v="1960.89"/>
  </r>
  <r>
    <s v="ORD200716"/>
    <s v="C84115"/>
    <x v="3"/>
    <n v="3"/>
    <x v="714"/>
    <s v="891 Main St"/>
    <s v="Credit Card"/>
    <n v="4"/>
    <s v="Google"/>
    <n v="1362.87"/>
  </r>
  <r>
    <s v="ORD200717"/>
    <s v="C50087"/>
    <x v="3"/>
    <n v="3"/>
    <x v="715"/>
    <s v="707 Main St"/>
    <s v="Online"/>
    <n v="4"/>
    <s v="Email"/>
    <n v="366.33"/>
  </r>
  <r>
    <s v="ORD200718"/>
    <s v="C16790"/>
    <x v="5"/>
    <n v="4"/>
    <x v="716"/>
    <s v="718 Main St"/>
    <s v="Gift Card"/>
    <n v="8"/>
    <s v="Google"/>
    <n v="258.95999999999998"/>
  </r>
  <r>
    <s v="ORD200719"/>
    <s v="C46920"/>
    <x v="5"/>
    <n v="2"/>
    <x v="717"/>
    <s v="703 Main St"/>
    <s v="Debit Card"/>
    <n v="3"/>
    <s v="Facebook"/>
    <n v="1362.12"/>
  </r>
  <r>
    <s v="ORD200720"/>
    <s v="C12740"/>
    <x v="6"/>
    <n v="5"/>
    <x v="718"/>
    <s v="305 Main St"/>
    <s v="Cash"/>
    <n v="10"/>
    <s v="Instagram"/>
    <n v="644.75"/>
  </r>
  <r>
    <s v="ORD200721"/>
    <s v="C46557"/>
    <x v="6"/>
    <n v="2"/>
    <x v="719"/>
    <s v="890 Main St"/>
    <s v="Credit Card"/>
    <n v="2"/>
    <s v="Email"/>
    <n v="237.18"/>
  </r>
  <r>
    <s v="ORD200722"/>
    <s v="C58156"/>
    <x v="4"/>
    <n v="1"/>
    <x v="720"/>
    <s v="516 Main St"/>
    <s v="Gift Card"/>
    <n v="1"/>
    <s v="Instagram"/>
    <n v="95.1"/>
  </r>
  <r>
    <s v="ORD200723"/>
    <s v="C14455"/>
    <x v="6"/>
    <n v="3"/>
    <x v="721"/>
    <s v="385 Main St"/>
    <s v="Cash"/>
    <n v="8"/>
    <s v="Referral"/>
    <n v="164.85"/>
  </r>
  <r>
    <s v="ORD200724"/>
    <s v="C63150"/>
    <x v="4"/>
    <n v="3"/>
    <x v="722"/>
    <s v="326 Main St"/>
    <s v="Credit Card"/>
    <n v="4"/>
    <s v="Referral"/>
    <n v="410.91"/>
  </r>
  <r>
    <s v="ORD200725"/>
    <s v="C95269"/>
    <x v="3"/>
    <n v="2"/>
    <x v="723"/>
    <s v="372 Main St"/>
    <s v="Gift Card"/>
    <n v="5"/>
    <s v="Referral"/>
    <n v="389.7"/>
  </r>
  <r>
    <s v="ORD200726"/>
    <s v="C18105"/>
    <x v="5"/>
    <n v="4"/>
    <x v="724"/>
    <s v="338 Main St"/>
    <s v="Online"/>
    <n v="4"/>
    <s v="Facebook"/>
    <n v="2332.08"/>
  </r>
  <r>
    <s v="ORD200727"/>
    <s v="C29063"/>
    <x v="3"/>
    <n v="5"/>
    <x v="725"/>
    <s v="379 Main St"/>
    <s v="Online"/>
    <n v="8"/>
    <s v="Instagram"/>
    <n v="478.75"/>
  </r>
  <r>
    <s v="ORD200728"/>
    <s v="C10154"/>
    <x v="6"/>
    <n v="4"/>
    <x v="726"/>
    <s v="827 Main St"/>
    <s v="Gift Card"/>
    <n v="8"/>
    <s v="Email"/>
    <n v="1303.04"/>
  </r>
  <r>
    <s v="ORD200729"/>
    <s v="C36997"/>
    <x v="1"/>
    <n v="4"/>
    <x v="727"/>
    <s v="819 Main St"/>
    <s v="Gift Card"/>
    <n v="6"/>
    <s v="Google"/>
    <n v="745.64"/>
  </r>
  <r>
    <s v="ORD200730"/>
    <s v="C77357"/>
    <x v="1"/>
    <n v="1"/>
    <x v="728"/>
    <s v="407 Main St"/>
    <s v="Debit Card"/>
    <n v="4"/>
    <s v="Email"/>
    <n v="474.6"/>
  </r>
  <r>
    <s v="ORD200731"/>
    <s v="C71310"/>
    <x v="4"/>
    <n v="5"/>
    <x v="729"/>
    <s v="308 Main St"/>
    <s v="Credit Card"/>
    <n v="8"/>
    <s v="Email"/>
    <n v="2922.3"/>
  </r>
  <r>
    <s v="ORD200732"/>
    <s v="C80987"/>
    <x v="5"/>
    <n v="1"/>
    <x v="730"/>
    <s v="787 Main St"/>
    <s v="Online"/>
    <n v="2"/>
    <s v="Google"/>
    <n v="132.05000000000001"/>
  </r>
  <r>
    <s v="ORD200733"/>
    <s v="C90757"/>
    <x v="2"/>
    <n v="4"/>
    <x v="731"/>
    <s v="694 Main St"/>
    <s v="Cash"/>
    <n v="8"/>
    <s v="Email"/>
    <n v="1979.36"/>
  </r>
  <r>
    <s v="ORD200734"/>
    <s v="C51898"/>
    <x v="4"/>
    <n v="4"/>
    <x v="732"/>
    <s v="630 Main St"/>
    <s v="Credit Card"/>
    <n v="6"/>
    <s v="Facebook"/>
    <n v="898.44"/>
  </r>
  <r>
    <s v="ORD200735"/>
    <s v="C94508"/>
    <x v="0"/>
    <n v="4"/>
    <x v="733"/>
    <s v="359 Main St"/>
    <s v="Debit Card"/>
    <n v="6"/>
    <s v="Email"/>
    <n v="176.28"/>
  </r>
  <r>
    <s v="ORD200736"/>
    <s v="C59441"/>
    <x v="0"/>
    <n v="5"/>
    <x v="734"/>
    <s v="696 Main St"/>
    <s v="Credit Card"/>
    <n v="6"/>
    <s v="Google"/>
    <n v="2092.65"/>
  </r>
  <r>
    <s v="ORD200737"/>
    <s v="C91029"/>
    <x v="1"/>
    <n v="4"/>
    <x v="735"/>
    <s v="972 Main St"/>
    <s v="Cash"/>
    <n v="9"/>
    <s v="Instagram"/>
    <n v="2131.48"/>
  </r>
  <r>
    <s v="ORD200738"/>
    <s v="C96261"/>
    <x v="1"/>
    <n v="2"/>
    <x v="736"/>
    <s v="264 Main St"/>
    <s v="Credit Card"/>
    <n v="5"/>
    <s v="Email"/>
    <n v="970.74"/>
  </r>
  <r>
    <s v="ORD200739"/>
    <s v="C35123"/>
    <x v="1"/>
    <n v="4"/>
    <x v="737"/>
    <s v="513 Main St"/>
    <s v="Cash"/>
    <n v="4"/>
    <s v="Facebook"/>
    <n v="1546.92"/>
  </r>
  <r>
    <s v="ORD200740"/>
    <s v="C10892"/>
    <x v="6"/>
    <n v="2"/>
    <x v="738"/>
    <s v="433 Main St"/>
    <s v="Cash"/>
    <n v="7"/>
    <s v="Google"/>
    <n v="754.94"/>
  </r>
  <r>
    <s v="ORD200741"/>
    <s v="C99683"/>
    <x v="0"/>
    <n v="5"/>
    <x v="739"/>
    <s v="945 Main St"/>
    <s v="Gift Card"/>
    <n v="10"/>
    <s v="Referral"/>
    <n v="1663.2"/>
  </r>
  <r>
    <s v="ORD200742"/>
    <s v="C41974"/>
    <x v="5"/>
    <n v="3"/>
    <x v="740"/>
    <s v="726 Main St"/>
    <s v="Cash"/>
    <n v="7"/>
    <s v="Google"/>
    <n v="2099.79"/>
  </r>
  <r>
    <s v="ORD200743"/>
    <s v="C23978"/>
    <x v="0"/>
    <n v="1"/>
    <x v="741"/>
    <s v="549 Main St"/>
    <s v="Gift Card"/>
    <n v="1"/>
    <s v="Instagram"/>
    <n v="576.35"/>
  </r>
  <r>
    <s v="ORD200744"/>
    <s v="C10642"/>
    <x v="2"/>
    <n v="2"/>
    <x v="742"/>
    <s v="200 Main St"/>
    <s v="Cash"/>
    <n v="5"/>
    <s v="Google"/>
    <n v="922.74"/>
  </r>
  <r>
    <s v="ORD200745"/>
    <s v="C73813"/>
    <x v="4"/>
    <n v="4"/>
    <x v="743"/>
    <s v="364 Main St"/>
    <s v="Debit Card"/>
    <n v="7"/>
    <s v="Email"/>
    <n v="445.2"/>
  </r>
  <r>
    <s v="ORD200746"/>
    <s v="C32183"/>
    <x v="6"/>
    <n v="3"/>
    <x v="744"/>
    <s v="551 Main St"/>
    <s v="Online"/>
    <n v="6"/>
    <s v="Referral"/>
    <n v="1985.67"/>
  </r>
  <r>
    <s v="ORD200747"/>
    <s v="C54277"/>
    <x v="2"/>
    <n v="2"/>
    <x v="745"/>
    <s v="940 Main St"/>
    <s v="Debit Card"/>
    <n v="7"/>
    <s v="Instagram"/>
    <n v="519.16"/>
  </r>
  <r>
    <s v="ORD200748"/>
    <s v="C56553"/>
    <x v="2"/>
    <n v="3"/>
    <x v="746"/>
    <s v="249 Main St"/>
    <s v="Credit Card"/>
    <n v="8"/>
    <s v="Referral"/>
    <n v="212.43"/>
  </r>
  <r>
    <s v="ORD200749"/>
    <s v="C17551"/>
    <x v="5"/>
    <n v="1"/>
    <x v="747"/>
    <s v="997 Main St"/>
    <s v="Debit Card"/>
    <n v="4"/>
    <s v="Instagram"/>
    <n v="518.39"/>
  </r>
  <r>
    <s v="ORD200750"/>
    <s v="C14737"/>
    <x v="2"/>
    <n v="4"/>
    <x v="748"/>
    <s v="637 Main St"/>
    <s v="Credit Card"/>
    <n v="7"/>
    <s v="Email"/>
    <n v="581.64"/>
  </r>
  <r>
    <s v="ORD200751"/>
    <s v="C35168"/>
    <x v="2"/>
    <n v="2"/>
    <x v="749"/>
    <s v="455 Main St"/>
    <s v="Gift Card"/>
    <n v="7"/>
    <s v="Facebook"/>
    <n v="1199.72"/>
  </r>
  <r>
    <s v="ORD200752"/>
    <s v="C82217"/>
    <x v="1"/>
    <n v="4"/>
    <x v="750"/>
    <s v="299 Main St"/>
    <s v="Credit Card"/>
    <n v="8"/>
    <s v="Google"/>
    <n v="1717.48"/>
  </r>
  <r>
    <s v="ORD200753"/>
    <s v="C42270"/>
    <x v="1"/>
    <n v="2"/>
    <x v="751"/>
    <s v="864 Main St"/>
    <s v="Debit Card"/>
    <n v="7"/>
    <s v="Instagram"/>
    <n v="482.98"/>
  </r>
  <r>
    <s v="ORD200754"/>
    <s v="C48846"/>
    <x v="4"/>
    <n v="2"/>
    <x v="752"/>
    <s v="983 Main St"/>
    <s v="Credit Card"/>
    <n v="3"/>
    <s v="Email"/>
    <n v="904.1"/>
  </r>
  <r>
    <s v="ORD200755"/>
    <s v="C54160"/>
    <x v="6"/>
    <n v="3"/>
    <x v="753"/>
    <s v="658 Main St"/>
    <s v="Credit Card"/>
    <n v="4"/>
    <s v="Email"/>
    <n v="1010.13"/>
  </r>
  <r>
    <s v="ORD200756"/>
    <s v="C14080"/>
    <x v="1"/>
    <n v="1"/>
    <x v="754"/>
    <s v="202 Main St"/>
    <s v="Gift Card"/>
    <n v="6"/>
    <s v="Google"/>
    <n v="283.69"/>
  </r>
  <r>
    <s v="ORD200757"/>
    <s v="C81074"/>
    <x v="6"/>
    <n v="1"/>
    <x v="755"/>
    <s v="597 Main St"/>
    <s v="Debit Card"/>
    <n v="2"/>
    <s v="Google"/>
    <n v="157.72"/>
  </r>
  <r>
    <s v="ORD200758"/>
    <s v="C69021"/>
    <x v="2"/>
    <n v="3"/>
    <x v="756"/>
    <s v="917 Main St"/>
    <s v="Credit Card"/>
    <n v="8"/>
    <s v="Facebook"/>
    <n v="1874.52"/>
  </r>
  <r>
    <s v="ORD200759"/>
    <s v="C96283"/>
    <x v="6"/>
    <n v="3"/>
    <x v="757"/>
    <s v="366 Main St"/>
    <s v="Cash"/>
    <n v="3"/>
    <s v="Facebook"/>
    <n v="924.03"/>
  </r>
  <r>
    <s v="ORD200760"/>
    <s v="C96636"/>
    <x v="6"/>
    <n v="1"/>
    <x v="758"/>
    <s v="283 Main St"/>
    <s v="Debit Card"/>
    <n v="5"/>
    <s v="Google"/>
    <n v="39.56"/>
  </r>
  <r>
    <s v="ORD200761"/>
    <s v="C37235"/>
    <x v="6"/>
    <n v="4"/>
    <x v="759"/>
    <s v="217 Main St"/>
    <s v="Debit Card"/>
    <n v="7"/>
    <s v="Google"/>
    <n v="151.04"/>
  </r>
  <r>
    <s v="ORD200762"/>
    <s v="C12444"/>
    <x v="1"/>
    <n v="3"/>
    <x v="760"/>
    <s v="611 Main St"/>
    <s v="Cash"/>
    <n v="8"/>
    <s v="Email"/>
    <n v="230.88"/>
  </r>
  <r>
    <s v="ORD200763"/>
    <s v="C79142"/>
    <x v="5"/>
    <n v="1"/>
    <x v="761"/>
    <s v="533 Main St"/>
    <s v="Online"/>
    <n v="4"/>
    <s v="Email"/>
    <n v="569.96"/>
  </r>
  <r>
    <s v="ORD200764"/>
    <s v="C35983"/>
    <x v="5"/>
    <n v="5"/>
    <x v="762"/>
    <s v="806 Main St"/>
    <s v="Credit Card"/>
    <n v="10"/>
    <s v="Email"/>
    <n v="3137.15"/>
  </r>
  <r>
    <s v="ORD200765"/>
    <s v="C36150"/>
    <x v="5"/>
    <n v="2"/>
    <x v="763"/>
    <s v="281 Main St"/>
    <s v="Debit Card"/>
    <n v="5"/>
    <s v="Google"/>
    <n v="1069.82"/>
  </r>
  <r>
    <s v="ORD200766"/>
    <s v="C91454"/>
    <x v="4"/>
    <n v="2"/>
    <x v="764"/>
    <s v="494 Main St"/>
    <s v="Debit Card"/>
    <n v="3"/>
    <s v="Referral"/>
    <n v="557.76"/>
  </r>
  <r>
    <s v="ORD200767"/>
    <s v="C19368"/>
    <x v="2"/>
    <n v="2"/>
    <x v="765"/>
    <s v="517 Main St"/>
    <s v="Credit Card"/>
    <n v="7"/>
    <s v="Instagram"/>
    <n v="646.44000000000005"/>
  </r>
  <r>
    <s v="ORD200768"/>
    <s v="C35987"/>
    <x v="2"/>
    <n v="5"/>
    <x v="766"/>
    <s v="165 Main St"/>
    <s v="Cash"/>
    <n v="9"/>
    <s v="Email"/>
    <n v="3267.3"/>
  </r>
  <r>
    <s v="ORD200769"/>
    <s v="C13366"/>
    <x v="4"/>
    <n v="4"/>
    <x v="767"/>
    <s v="568 Main St"/>
    <s v="Cash"/>
    <n v="5"/>
    <s v="Email"/>
    <n v="2714.2"/>
  </r>
  <r>
    <s v="ORD200770"/>
    <s v="C72166"/>
    <x v="6"/>
    <n v="1"/>
    <x v="768"/>
    <s v="227 Main St"/>
    <s v="Online"/>
    <n v="6"/>
    <s v="Google"/>
    <n v="314.38"/>
  </r>
  <r>
    <s v="ORD200771"/>
    <s v="C20357"/>
    <x v="1"/>
    <n v="3"/>
    <x v="769"/>
    <s v="272 Main St"/>
    <s v="Debit Card"/>
    <n v="8"/>
    <s v="Google"/>
    <n v="2077.3200000000002"/>
  </r>
  <r>
    <s v="ORD200772"/>
    <s v="C33802"/>
    <x v="0"/>
    <n v="1"/>
    <x v="770"/>
    <s v="461 Main St"/>
    <s v="Online"/>
    <n v="4"/>
    <s v="Instagram"/>
    <n v="604.87"/>
  </r>
  <r>
    <s v="ORD200773"/>
    <s v="C99205"/>
    <x v="1"/>
    <n v="2"/>
    <x v="771"/>
    <s v="415 Main St"/>
    <s v="Cash"/>
    <n v="7"/>
    <s v="Facebook"/>
    <n v="1024.6600000000001"/>
  </r>
  <r>
    <s v="ORD200774"/>
    <s v="C29701"/>
    <x v="3"/>
    <n v="3"/>
    <x v="772"/>
    <s v="257 Main St"/>
    <s v="Credit Card"/>
    <n v="3"/>
    <s v="Instagram"/>
    <n v="61.62"/>
  </r>
  <r>
    <s v="ORD200775"/>
    <s v="C73941"/>
    <x v="1"/>
    <n v="2"/>
    <x v="773"/>
    <s v="569 Main St"/>
    <s v="Online"/>
    <n v="5"/>
    <s v="Google"/>
    <n v="1250.44"/>
  </r>
  <r>
    <s v="ORD200776"/>
    <s v="C69168"/>
    <x v="2"/>
    <n v="1"/>
    <x v="774"/>
    <s v="482 Main St"/>
    <s v="Cash"/>
    <n v="5"/>
    <s v="Google"/>
    <n v="21.19"/>
  </r>
  <r>
    <s v="ORD200777"/>
    <s v="C66116"/>
    <x v="3"/>
    <n v="5"/>
    <x v="775"/>
    <s v="633 Main St"/>
    <s v="Online"/>
    <n v="7"/>
    <s v="Facebook"/>
    <n v="322.45"/>
  </r>
  <r>
    <s v="ORD200778"/>
    <s v="C85059"/>
    <x v="5"/>
    <n v="4"/>
    <x v="776"/>
    <s v="316 Main St"/>
    <s v="Credit Card"/>
    <n v="8"/>
    <s v="Google"/>
    <n v="987.4"/>
  </r>
  <r>
    <s v="ORD200779"/>
    <s v="C18076"/>
    <x v="1"/>
    <n v="3"/>
    <x v="777"/>
    <s v="751 Main St"/>
    <s v="Debit Card"/>
    <n v="8"/>
    <s v="Email"/>
    <n v="1766.22"/>
  </r>
  <r>
    <s v="ORD200780"/>
    <s v="C41284"/>
    <x v="5"/>
    <n v="4"/>
    <x v="778"/>
    <s v="661 Main St"/>
    <s v="Online"/>
    <n v="4"/>
    <s v="Google"/>
    <n v="737.92"/>
  </r>
  <r>
    <s v="ORD200781"/>
    <s v="C43524"/>
    <x v="1"/>
    <n v="5"/>
    <x v="779"/>
    <s v="934 Main St"/>
    <s v="Gift Card"/>
    <n v="5"/>
    <s v="Referral"/>
    <n v="2621.3000000000002"/>
  </r>
  <r>
    <s v="ORD200782"/>
    <s v="C58063"/>
    <x v="0"/>
    <n v="2"/>
    <x v="780"/>
    <s v="167 Main St"/>
    <s v="Online"/>
    <n v="6"/>
    <s v="Referral"/>
    <n v="987.26"/>
  </r>
  <r>
    <s v="ORD200783"/>
    <s v="C19937"/>
    <x v="4"/>
    <n v="1"/>
    <x v="781"/>
    <s v="281 Main St"/>
    <s v="Gift Card"/>
    <n v="5"/>
    <s v="Facebook"/>
    <n v="438.34"/>
  </r>
  <r>
    <s v="ORD200784"/>
    <s v="C21191"/>
    <x v="5"/>
    <n v="1"/>
    <x v="782"/>
    <s v="232 Main St"/>
    <s v="Credit Card"/>
    <n v="1"/>
    <s v="Referral"/>
    <n v="325.81"/>
  </r>
  <r>
    <s v="ORD200785"/>
    <s v="C45862"/>
    <x v="3"/>
    <n v="1"/>
    <x v="783"/>
    <s v="342 Main St"/>
    <s v="Credit Card"/>
    <n v="1"/>
    <s v="Instagram"/>
    <n v="176.1"/>
  </r>
  <r>
    <s v="ORD200786"/>
    <s v="C39130"/>
    <x v="3"/>
    <n v="5"/>
    <x v="784"/>
    <s v="774 Main St"/>
    <s v="Online"/>
    <n v="8"/>
    <s v="Referral"/>
    <n v="226.55"/>
  </r>
  <r>
    <s v="ORD200787"/>
    <s v="C18167"/>
    <x v="6"/>
    <n v="4"/>
    <x v="785"/>
    <s v="193 Main St"/>
    <s v="Cash"/>
    <n v="7"/>
    <s v="Google"/>
    <n v="887.84"/>
  </r>
  <r>
    <s v="ORD200788"/>
    <s v="C47307"/>
    <x v="3"/>
    <n v="2"/>
    <x v="786"/>
    <s v="761 Main St"/>
    <s v="Online"/>
    <n v="5"/>
    <s v="Instagram"/>
    <n v="1202.8599999999999"/>
  </r>
  <r>
    <s v="ORD200789"/>
    <s v="C57276"/>
    <x v="2"/>
    <n v="5"/>
    <x v="787"/>
    <s v="183 Main St"/>
    <s v="Online"/>
    <n v="10"/>
    <s v="Email"/>
    <n v="3456.4"/>
  </r>
  <r>
    <s v="ORD200790"/>
    <s v="C38928"/>
    <x v="5"/>
    <n v="4"/>
    <x v="788"/>
    <s v="302 Main St"/>
    <s v="Gift Card"/>
    <n v="4"/>
    <s v="Google"/>
    <n v="1671.56"/>
  </r>
  <r>
    <s v="ORD200791"/>
    <s v="C49710"/>
    <x v="3"/>
    <n v="4"/>
    <x v="789"/>
    <s v="956 Main St"/>
    <s v="Cash"/>
    <n v="8"/>
    <s v="Email"/>
    <n v="1637.12"/>
  </r>
  <r>
    <s v="ORD200792"/>
    <s v="C41709"/>
    <x v="6"/>
    <n v="2"/>
    <x v="790"/>
    <s v="746 Main St"/>
    <s v="Debit Card"/>
    <n v="6"/>
    <s v="Facebook"/>
    <n v="712.7"/>
  </r>
  <r>
    <s v="ORD200793"/>
    <s v="C91255"/>
    <x v="3"/>
    <n v="5"/>
    <x v="791"/>
    <s v="769 Main St"/>
    <s v="Debit Card"/>
    <n v="8"/>
    <s v="Referral"/>
    <n v="851.1"/>
  </r>
  <r>
    <s v="ORD200794"/>
    <s v="C76653"/>
    <x v="4"/>
    <n v="4"/>
    <x v="792"/>
    <s v="988 Main St"/>
    <s v="Online"/>
    <n v="9"/>
    <s v="Instagram"/>
    <n v="1539.4"/>
  </r>
  <r>
    <s v="ORD200795"/>
    <s v="C95667"/>
    <x v="5"/>
    <n v="4"/>
    <x v="793"/>
    <s v="586 Main St"/>
    <s v="Online"/>
    <n v="7"/>
    <s v="Instagram"/>
    <n v="463.08"/>
  </r>
  <r>
    <s v="ORD200796"/>
    <s v="C33313"/>
    <x v="1"/>
    <n v="3"/>
    <x v="794"/>
    <s v="882 Main St"/>
    <s v="Gift Card"/>
    <n v="8"/>
    <s v="Facebook"/>
    <n v="1738.65"/>
  </r>
  <r>
    <s v="ORD200797"/>
    <s v="C36825"/>
    <x v="5"/>
    <n v="2"/>
    <x v="795"/>
    <s v="426 Main St"/>
    <s v="Debit Card"/>
    <n v="2"/>
    <s v="Facebook"/>
    <n v="877.52"/>
  </r>
  <r>
    <s v="ORD200798"/>
    <s v="C20861"/>
    <x v="1"/>
    <n v="5"/>
    <x v="796"/>
    <s v="968 Main St"/>
    <s v="Debit Card"/>
    <n v="9"/>
    <s v="Email"/>
    <n v="2441.75"/>
  </r>
  <r>
    <s v="ORD200799"/>
    <s v="C26364"/>
    <x v="5"/>
    <n v="4"/>
    <x v="797"/>
    <s v="803 Main St"/>
    <s v="Debit Card"/>
    <n v="4"/>
    <s v="Email"/>
    <n v="1314.24"/>
  </r>
  <r>
    <s v="ORD200800"/>
    <s v="C34686"/>
    <x v="2"/>
    <n v="1"/>
    <x v="798"/>
    <s v="412 Main St"/>
    <s v="Online"/>
    <n v="3"/>
    <s v="Facebook"/>
    <n v="68.39"/>
  </r>
  <r>
    <s v="ORD200801"/>
    <s v="C97593"/>
    <x v="4"/>
    <n v="4"/>
    <x v="799"/>
    <s v="738 Main St"/>
    <s v="Debit Card"/>
    <n v="8"/>
    <s v="Facebook"/>
    <n v="2382.48"/>
  </r>
  <r>
    <s v="ORD200802"/>
    <s v="C84331"/>
    <x v="3"/>
    <n v="5"/>
    <x v="800"/>
    <s v="205 Main St"/>
    <s v="Gift Card"/>
    <n v="6"/>
    <s v="Email"/>
    <n v="3223.2"/>
  </r>
  <r>
    <s v="ORD200803"/>
    <s v="C88775"/>
    <x v="0"/>
    <n v="5"/>
    <x v="801"/>
    <s v="223 Main St"/>
    <s v="Debit Card"/>
    <n v="5"/>
    <s v="Referral"/>
    <n v="1989.05"/>
  </r>
  <r>
    <s v="ORD200804"/>
    <s v="C76362"/>
    <x v="3"/>
    <n v="3"/>
    <x v="802"/>
    <s v="916 Main St"/>
    <s v="Online"/>
    <n v="8"/>
    <s v="Email"/>
    <n v="709.5"/>
  </r>
  <r>
    <s v="ORD200805"/>
    <s v="C59278"/>
    <x v="5"/>
    <n v="5"/>
    <x v="803"/>
    <s v="178 Main St"/>
    <s v="Gift Card"/>
    <n v="10"/>
    <s v="Email"/>
    <n v="2360.0500000000002"/>
  </r>
  <r>
    <s v="ORD200806"/>
    <s v="C55819"/>
    <x v="3"/>
    <n v="5"/>
    <x v="804"/>
    <s v="740 Main St"/>
    <s v="Online"/>
    <n v="9"/>
    <s v="Instagram"/>
    <n v="1268.75"/>
  </r>
  <r>
    <s v="ORD200807"/>
    <s v="C82344"/>
    <x v="0"/>
    <n v="3"/>
    <x v="805"/>
    <s v="260 Main St"/>
    <s v="Online"/>
    <n v="5"/>
    <s v="Google"/>
    <n v="2028.63"/>
  </r>
  <r>
    <s v="ORD200808"/>
    <s v="C65565"/>
    <x v="6"/>
    <n v="3"/>
    <x v="806"/>
    <s v="192 Main St"/>
    <s v="Credit Card"/>
    <n v="3"/>
    <s v="Google"/>
    <n v="402.15"/>
  </r>
  <r>
    <s v="ORD200809"/>
    <s v="C80416"/>
    <x v="6"/>
    <n v="5"/>
    <x v="807"/>
    <s v="752 Main St"/>
    <s v="Debit Card"/>
    <n v="10"/>
    <s v="Instagram"/>
    <n v="1087.1500000000001"/>
  </r>
  <r>
    <s v="ORD200810"/>
    <s v="C23637"/>
    <x v="2"/>
    <n v="1"/>
    <x v="808"/>
    <s v="644 Main St"/>
    <s v="Credit Card"/>
    <n v="5"/>
    <s v="Referral"/>
    <n v="553.55999999999995"/>
  </r>
  <r>
    <s v="ORD200811"/>
    <s v="C24769"/>
    <x v="5"/>
    <n v="2"/>
    <x v="809"/>
    <s v="864 Main St"/>
    <s v="Gift Card"/>
    <n v="7"/>
    <s v="Email"/>
    <n v="57.1"/>
  </r>
  <r>
    <s v="ORD200812"/>
    <s v="C81547"/>
    <x v="1"/>
    <n v="2"/>
    <x v="810"/>
    <s v="803 Main St"/>
    <s v="Credit Card"/>
    <n v="6"/>
    <s v="Google"/>
    <n v="510.52"/>
  </r>
  <r>
    <s v="ORD200813"/>
    <s v="C12813"/>
    <x v="5"/>
    <n v="5"/>
    <x v="811"/>
    <s v="263 Main St"/>
    <s v="Debit Card"/>
    <n v="8"/>
    <s v="Email"/>
    <n v="1462.7"/>
  </r>
  <r>
    <s v="ORD200814"/>
    <s v="C50732"/>
    <x v="3"/>
    <n v="4"/>
    <x v="812"/>
    <s v="979 Main St"/>
    <s v="Debit Card"/>
    <n v="4"/>
    <s v="Instagram"/>
    <n v="590.04"/>
  </r>
  <r>
    <s v="ORD200815"/>
    <s v="C41320"/>
    <x v="4"/>
    <n v="3"/>
    <x v="813"/>
    <s v="920 Main St"/>
    <s v="Gift Card"/>
    <n v="8"/>
    <s v="Instagram"/>
    <n v="1709.52"/>
  </r>
  <r>
    <s v="ORD200816"/>
    <s v="C55286"/>
    <x v="2"/>
    <n v="5"/>
    <x v="814"/>
    <s v="497 Main St"/>
    <s v="Credit Card"/>
    <n v="8"/>
    <s v="Referral"/>
    <n v="2873.95"/>
  </r>
  <r>
    <s v="ORD200817"/>
    <s v="C87994"/>
    <x v="3"/>
    <n v="4"/>
    <x v="815"/>
    <s v="430 Main St"/>
    <s v="Credit Card"/>
    <n v="7"/>
    <s v="Email"/>
    <n v="2392.7600000000002"/>
  </r>
  <r>
    <s v="ORD200818"/>
    <s v="C25580"/>
    <x v="1"/>
    <n v="4"/>
    <x v="816"/>
    <s v="860 Main St"/>
    <s v="Credit Card"/>
    <n v="9"/>
    <s v="Referral"/>
    <n v="1563.36"/>
  </r>
  <r>
    <s v="ORD200819"/>
    <s v="C66196"/>
    <x v="1"/>
    <n v="2"/>
    <x v="817"/>
    <s v="650 Main St"/>
    <s v="Debit Card"/>
    <n v="7"/>
    <s v="Google"/>
    <n v="796.9"/>
  </r>
  <r>
    <s v="ORD200820"/>
    <s v="C35377"/>
    <x v="1"/>
    <n v="5"/>
    <x v="818"/>
    <s v="171 Main St"/>
    <s v="Cash"/>
    <n v="6"/>
    <s v="Email"/>
    <n v="3119.05"/>
  </r>
  <r>
    <s v="ORD200821"/>
    <s v="C40771"/>
    <x v="5"/>
    <n v="4"/>
    <x v="819"/>
    <s v="259 Main St"/>
    <s v="Credit Card"/>
    <n v="5"/>
    <s v="Facebook"/>
    <n v="697.96"/>
  </r>
  <r>
    <s v="ORD200822"/>
    <s v="C20624"/>
    <x v="1"/>
    <n v="1"/>
    <x v="820"/>
    <s v="923 Main St"/>
    <s v="Gift Card"/>
    <n v="1"/>
    <s v="Google"/>
    <n v="479.56"/>
  </r>
  <r>
    <s v="ORD200823"/>
    <s v="C27070"/>
    <x v="5"/>
    <n v="4"/>
    <x v="821"/>
    <s v="973 Main St"/>
    <s v="Credit Card"/>
    <n v="8"/>
    <s v="Instagram"/>
    <n v="2612.52"/>
  </r>
  <r>
    <s v="ORD200824"/>
    <s v="C18826"/>
    <x v="0"/>
    <n v="3"/>
    <x v="822"/>
    <s v="664 Main St"/>
    <s v="Credit Card"/>
    <n v="3"/>
    <s v="Facebook"/>
    <n v="1443.3"/>
  </r>
  <r>
    <s v="ORD200825"/>
    <s v="C23899"/>
    <x v="6"/>
    <n v="5"/>
    <x v="823"/>
    <s v="543 Main St"/>
    <s v="Online"/>
    <n v="7"/>
    <s v="Instagram"/>
    <n v="1358.45"/>
  </r>
  <r>
    <s v="ORD200826"/>
    <s v="C43249"/>
    <x v="4"/>
    <n v="3"/>
    <x v="824"/>
    <s v="283 Main St"/>
    <s v="Online"/>
    <n v="8"/>
    <s v="Email"/>
    <n v="1391.43"/>
  </r>
  <r>
    <s v="ORD200827"/>
    <s v="C95856"/>
    <x v="2"/>
    <n v="2"/>
    <x v="825"/>
    <s v="432 Main St"/>
    <s v="Cash"/>
    <n v="5"/>
    <s v="Instagram"/>
    <n v="1279.76"/>
  </r>
  <r>
    <s v="ORD200828"/>
    <s v="C86266"/>
    <x v="3"/>
    <n v="4"/>
    <x v="826"/>
    <s v="510 Main St"/>
    <s v="Cash"/>
    <n v="5"/>
    <s v="Instagram"/>
    <n v="1618.32"/>
  </r>
  <r>
    <s v="ORD200829"/>
    <s v="C39551"/>
    <x v="0"/>
    <n v="1"/>
    <x v="827"/>
    <s v="685 Main St"/>
    <s v="Debit Card"/>
    <n v="6"/>
    <s v="Instagram"/>
    <n v="76.930000000000007"/>
  </r>
  <r>
    <s v="ORD200830"/>
    <s v="C90310"/>
    <x v="2"/>
    <n v="4"/>
    <x v="828"/>
    <s v="853 Main St"/>
    <s v="Cash"/>
    <n v="5"/>
    <s v="Email"/>
    <n v="762.56"/>
  </r>
  <r>
    <s v="ORD200831"/>
    <s v="C20124"/>
    <x v="4"/>
    <n v="2"/>
    <x v="829"/>
    <s v="140 Main St"/>
    <s v="Online"/>
    <n v="5"/>
    <s v="Google"/>
    <n v="177.46"/>
  </r>
  <r>
    <s v="ORD200832"/>
    <s v="C63372"/>
    <x v="3"/>
    <n v="5"/>
    <x v="830"/>
    <s v="903 Main St"/>
    <s v="Online"/>
    <n v="10"/>
    <s v="Referral"/>
    <n v="2428.5500000000002"/>
  </r>
  <r>
    <s v="ORD200833"/>
    <s v="C90595"/>
    <x v="1"/>
    <n v="5"/>
    <x v="831"/>
    <s v="508 Main St"/>
    <s v="Credit Card"/>
    <n v="5"/>
    <s v="Referral"/>
    <n v="391.45"/>
  </r>
  <r>
    <s v="ORD200834"/>
    <s v="C98483"/>
    <x v="4"/>
    <n v="5"/>
    <x v="832"/>
    <s v="456 Main St"/>
    <s v="Cash"/>
    <n v="10"/>
    <s v="Instagram"/>
    <n v="110.7"/>
  </r>
  <r>
    <s v="ORD200835"/>
    <s v="C16429"/>
    <x v="6"/>
    <n v="1"/>
    <x v="833"/>
    <s v="390 Main St"/>
    <s v="Debit Card"/>
    <n v="6"/>
    <s v="Google"/>
    <n v="679.65"/>
  </r>
  <r>
    <s v="ORD200836"/>
    <s v="C31810"/>
    <x v="1"/>
    <n v="1"/>
    <x v="834"/>
    <s v="328 Main St"/>
    <s v="Credit Card"/>
    <n v="2"/>
    <s v="Google"/>
    <n v="178.44"/>
  </r>
  <r>
    <s v="ORD200837"/>
    <s v="C88029"/>
    <x v="3"/>
    <n v="5"/>
    <x v="835"/>
    <s v="282 Main St"/>
    <s v="Online"/>
    <n v="5"/>
    <s v="Email"/>
    <n v="3277.75"/>
  </r>
  <r>
    <s v="ORD200838"/>
    <s v="C57798"/>
    <x v="6"/>
    <n v="4"/>
    <x v="836"/>
    <s v="384 Main St"/>
    <s v="Online"/>
    <n v="8"/>
    <s v="Facebook"/>
    <n v="2308.3200000000002"/>
  </r>
  <r>
    <s v="ORD200839"/>
    <s v="C82858"/>
    <x v="3"/>
    <n v="3"/>
    <x v="837"/>
    <s v="551 Main St"/>
    <s v="Online"/>
    <n v="5"/>
    <s v="Google"/>
    <n v="593.91"/>
  </r>
  <r>
    <s v="ORD200840"/>
    <s v="C60699"/>
    <x v="3"/>
    <n v="3"/>
    <x v="838"/>
    <s v="672 Main St"/>
    <s v="Credit Card"/>
    <n v="7"/>
    <s v="Referral"/>
    <n v="1235.8499999999999"/>
  </r>
  <r>
    <s v="ORD200841"/>
    <s v="C94658"/>
    <x v="4"/>
    <n v="2"/>
    <x v="839"/>
    <s v="742 Main St"/>
    <s v="Credit Card"/>
    <n v="5"/>
    <s v="Facebook"/>
    <n v="886.44"/>
  </r>
  <r>
    <s v="ORD200842"/>
    <s v="C78305"/>
    <x v="5"/>
    <n v="3"/>
    <x v="840"/>
    <s v="396 Main St"/>
    <s v="Online"/>
    <n v="7"/>
    <s v="Referral"/>
    <n v="1092.42"/>
  </r>
  <r>
    <s v="ORD200843"/>
    <s v="C43538"/>
    <x v="6"/>
    <n v="3"/>
    <x v="841"/>
    <s v="534 Main St"/>
    <s v="Gift Card"/>
    <n v="8"/>
    <s v="Instagram"/>
    <n v="1290.18"/>
  </r>
  <r>
    <s v="ORD200844"/>
    <s v="C47486"/>
    <x v="3"/>
    <n v="1"/>
    <x v="842"/>
    <s v="883 Main St"/>
    <s v="Online"/>
    <n v="5"/>
    <s v="Facebook"/>
    <n v="320.92"/>
  </r>
  <r>
    <s v="ORD200845"/>
    <s v="C24212"/>
    <x v="1"/>
    <n v="3"/>
    <x v="843"/>
    <s v="808 Main St"/>
    <s v="Gift Card"/>
    <n v="5"/>
    <s v="Google"/>
    <n v="322.08"/>
  </r>
  <r>
    <s v="ORD200846"/>
    <s v="C24765"/>
    <x v="6"/>
    <n v="2"/>
    <x v="844"/>
    <s v="646 Main St"/>
    <s v="Debit Card"/>
    <n v="4"/>
    <s v="Referral"/>
    <n v="719.72"/>
  </r>
  <r>
    <s v="ORD200847"/>
    <s v="C48176"/>
    <x v="4"/>
    <n v="4"/>
    <x v="845"/>
    <s v="670 Main St"/>
    <s v="Online"/>
    <n v="8"/>
    <s v="Email"/>
    <n v="1736.92"/>
  </r>
  <r>
    <s v="ORD200848"/>
    <s v="C54675"/>
    <x v="3"/>
    <n v="2"/>
    <x v="846"/>
    <s v="634 Main St"/>
    <s v="Online"/>
    <n v="5"/>
    <s v="Referral"/>
    <n v="1291.7"/>
  </r>
  <r>
    <s v="ORD200849"/>
    <s v="C16675"/>
    <x v="4"/>
    <n v="4"/>
    <x v="847"/>
    <s v="664 Main St"/>
    <s v="Debit Card"/>
    <n v="7"/>
    <s v="Referral"/>
    <n v="857.4"/>
  </r>
  <r>
    <s v="ORD200850"/>
    <s v="C38557"/>
    <x v="0"/>
    <n v="3"/>
    <x v="848"/>
    <s v="890 Main St"/>
    <s v="Debit Card"/>
    <n v="4"/>
    <s v="Instagram"/>
    <n v="1915.5"/>
  </r>
  <r>
    <s v="ORD200851"/>
    <s v="C80183"/>
    <x v="5"/>
    <n v="1"/>
    <x v="849"/>
    <s v="146 Main St"/>
    <s v="Online"/>
    <n v="5"/>
    <s v="Email"/>
    <n v="365.57"/>
  </r>
  <r>
    <s v="ORD200852"/>
    <s v="C39530"/>
    <x v="6"/>
    <n v="3"/>
    <x v="850"/>
    <s v="618 Main St"/>
    <s v="Gift Card"/>
    <n v="6"/>
    <s v="Google"/>
    <n v="1704.15"/>
  </r>
  <r>
    <s v="ORD200853"/>
    <s v="C10002"/>
    <x v="4"/>
    <n v="3"/>
    <x v="851"/>
    <s v="894 Main St"/>
    <s v="Cash"/>
    <n v="4"/>
    <s v="Facebook"/>
    <n v="1470.03"/>
  </r>
  <r>
    <s v="ORD200854"/>
    <s v="C56938"/>
    <x v="5"/>
    <n v="3"/>
    <x v="852"/>
    <s v="356 Main St"/>
    <s v="Credit Card"/>
    <n v="7"/>
    <s v="Referral"/>
    <n v="1117.8"/>
  </r>
  <r>
    <s v="ORD200855"/>
    <s v="C41331"/>
    <x v="0"/>
    <n v="5"/>
    <x v="853"/>
    <s v="785 Main St"/>
    <s v="Credit Card"/>
    <n v="10"/>
    <s v="Email"/>
    <n v="1203.05"/>
  </r>
  <r>
    <s v="ORD200856"/>
    <s v="C94698"/>
    <x v="1"/>
    <n v="1"/>
    <x v="854"/>
    <s v="871 Main St"/>
    <s v="Debit Card"/>
    <n v="5"/>
    <s v="Facebook"/>
    <n v="586.62"/>
  </r>
  <r>
    <s v="ORD200857"/>
    <s v="C56506"/>
    <x v="1"/>
    <n v="3"/>
    <x v="855"/>
    <s v="185 Main St"/>
    <s v="Online"/>
    <n v="4"/>
    <s v="Instagram"/>
    <n v="773.52"/>
  </r>
  <r>
    <s v="ORD200858"/>
    <s v="C22167"/>
    <x v="2"/>
    <n v="5"/>
    <x v="856"/>
    <s v="891 Main St"/>
    <s v="Online"/>
    <n v="9"/>
    <s v="Facebook"/>
    <n v="2178.3000000000002"/>
  </r>
  <r>
    <s v="ORD200859"/>
    <s v="C11127"/>
    <x v="3"/>
    <n v="5"/>
    <x v="857"/>
    <s v="154 Main St"/>
    <s v="Credit Card"/>
    <n v="5"/>
    <s v="Referral"/>
    <n v="1306.6500000000001"/>
  </r>
  <r>
    <s v="ORD200860"/>
    <s v="C69542"/>
    <x v="4"/>
    <n v="1"/>
    <x v="858"/>
    <s v="876 Main St"/>
    <s v="Cash"/>
    <n v="1"/>
    <s v="Google"/>
    <n v="422.54"/>
  </r>
  <r>
    <s v="ORD200861"/>
    <s v="C93276"/>
    <x v="6"/>
    <n v="5"/>
    <x v="859"/>
    <s v="230 Main St"/>
    <s v="Gift Card"/>
    <n v="10"/>
    <s v="Google"/>
    <n v="1652.25"/>
  </r>
  <r>
    <s v="ORD200862"/>
    <s v="C37969"/>
    <x v="6"/>
    <n v="3"/>
    <x v="860"/>
    <s v="799 Main St"/>
    <s v="Credit Card"/>
    <n v="5"/>
    <s v="Referral"/>
    <n v="362.46"/>
  </r>
  <r>
    <s v="ORD200863"/>
    <s v="C98276"/>
    <x v="1"/>
    <n v="1"/>
    <x v="861"/>
    <s v="471 Main St"/>
    <s v="Credit Card"/>
    <n v="5"/>
    <s v="Referral"/>
    <n v="14.06"/>
  </r>
  <r>
    <s v="ORD200864"/>
    <s v="C14240"/>
    <x v="6"/>
    <n v="1"/>
    <x v="862"/>
    <s v="592 Main St"/>
    <s v="Credit Card"/>
    <n v="4"/>
    <s v="Facebook"/>
    <n v="491.11"/>
  </r>
  <r>
    <s v="ORD200865"/>
    <s v="C72241"/>
    <x v="0"/>
    <n v="4"/>
    <x v="863"/>
    <s v="156 Main St"/>
    <s v="Cash"/>
    <n v="8"/>
    <s v="Google"/>
    <n v="2709.48"/>
  </r>
  <r>
    <s v="ORD200866"/>
    <s v="C39664"/>
    <x v="6"/>
    <n v="5"/>
    <x v="864"/>
    <s v="693 Main St"/>
    <s v="Debit Card"/>
    <n v="10"/>
    <s v="Email"/>
    <n v="946.25"/>
  </r>
  <r>
    <s v="ORD200867"/>
    <s v="C53252"/>
    <x v="4"/>
    <n v="4"/>
    <x v="865"/>
    <s v="351 Main St"/>
    <s v="Cash"/>
    <n v="4"/>
    <s v="Facebook"/>
    <n v="570.32000000000005"/>
  </r>
  <r>
    <s v="ORD200868"/>
    <s v="C70452"/>
    <x v="0"/>
    <n v="4"/>
    <x v="866"/>
    <s v="309 Main St"/>
    <s v="Debit Card"/>
    <n v="7"/>
    <s v="Facebook"/>
    <n v="1265.28"/>
  </r>
  <r>
    <s v="ORD200869"/>
    <s v="C29905"/>
    <x v="6"/>
    <n v="2"/>
    <x v="867"/>
    <s v="790 Main St"/>
    <s v="Online"/>
    <n v="5"/>
    <s v="Google"/>
    <n v="1067.9000000000001"/>
  </r>
  <r>
    <s v="ORD200870"/>
    <s v="C78725"/>
    <x v="1"/>
    <n v="4"/>
    <x v="868"/>
    <s v="541 Main St"/>
    <s v="Debit Card"/>
    <n v="4"/>
    <s v="Google"/>
    <n v="1880.36"/>
  </r>
  <r>
    <s v="ORD200871"/>
    <s v="C93768"/>
    <x v="2"/>
    <n v="3"/>
    <x v="869"/>
    <s v="720 Main St"/>
    <s v="Debit Card"/>
    <n v="8"/>
    <s v="Email"/>
    <n v="972.90000000000009"/>
  </r>
  <r>
    <s v="ORD200872"/>
    <s v="C59169"/>
    <x v="3"/>
    <n v="4"/>
    <x v="120"/>
    <s v="172 Main St"/>
    <s v="Cash"/>
    <n v="7"/>
    <s v="Email"/>
    <n v="2517.36"/>
  </r>
  <r>
    <s v="ORD200873"/>
    <s v="C53488"/>
    <x v="6"/>
    <n v="3"/>
    <x v="503"/>
    <s v="448 Main St"/>
    <s v="Cash"/>
    <n v="3"/>
    <s v="Facebook"/>
    <n v="410.52"/>
  </r>
  <r>
    <s v="ORD200874"/>
    <s v="C92180"/>
    <x v="3"/>
    <n v="2"/>
    <x v="870"/>
    <s v="632 Main St"/>
    <s v="Cash"/>
    <n v="7"/>
    <s v="Facebook"/>
    <n v="977.8"/>
  </r>
  <r>
    <s v="ORD200875"/>
    <s v="C25918"/>
    <x v="5"/>
    <n v="5"/>
    <x v="871"/>
    <s v="203 Main St"/>
    <s v="Credit Card"/>
    <n v="6"/>
    <s v="Referral"/>
    <n v="666.94999999999993"/>
  </r>
  <r>
    <s v="ORD200876"/>
    <s v="C90363"/>
    <x v="3"/>
    <n v="5"/>
    <x v="872"/>
    <s v="200 Main St"/>
    <s v="Gift Card"/>
    <n v="6"/>
    <s v="Google"/>
    <n v="3044.55"/>
  </r>
  <r>
    <s v="ORD200877"/>
    <s v="C43867"/>
    <x v="2"/>
    <n v="1"/>
    <x v="873"/>
    <s v="269 Main St"/>
    <s v="Debit Card"/>
    <n v="3"/>
    <s v="Email"/>
    <n v="524.05999999999995"/>
  </r>
  <r>
    <s v="ORD200878"/>
    <s v="C73873"/>
    <x v="6"/>
    <n v="2"/>
    <x v="874"/>
    <s v="393 Main St"/>
    <s v="Online"/>
    <n v="5"/>
    <s v="Google"/>
    <n v="661.38"/>
  </r>
  <r>
    <s v="ORD200879"/>
    <s v="C56622"/>
    <x v="1"/>
    <n v="2"/>
    <x v="875"/>
    <s v="932 Main St"/>
    <s v="Gift Card"/>
    <n v="3"/>
    <s v="Instagram"/>
    <n v="1095.3399999999999"/>
  </r>
  <r>
    <s v="ORD200880"/>
    <s v="C85074"/>
    <x v="5"/>
    <n v="4"/>
    <x v="876"/>
    <s v="506 Main St"/>
    <s v="Online"/>
    <n v="8"/>
    <s v="Facebook"/>
    <n v="934.8"/>
  </r>
  <r>
    <s v="ORD200881"/>
    <s v="C59579"/>
    <x v="2"/>
    <n v="2"/>
    <x v="877"/>
    <s v="386 Main St"/>
    <s v="Credit Card"/>
    <n v="6"/>
    <s v="Instagram"/>
    <n v="897.7"/>
  </r>
  <r>
    <s v="ORD200882"/>
    <s v="C43335"/>
    <x v="1"/>
    <n v="2"/>
    <x v="878"/>
    <s v="533 Main St"/>
    <s v="Cash"/>
    <n v="6"/>
    <s v="Referral"/>
    <n v="548.24"/>
  </r>
  <r>
    <s v="ORD200883"/>
    <s v="C43595"/>
    <x v="4"/>
    <n v="5"/>
    <x v="879"/>
    <s v="451 Main St"/>
    <s v="Online"/>
    <n v="9"/>
    <s v="Facebook"/>
    <n v="2807.4"/>
  </r>
  <r>
    <s v="ORD200884"/>
    <s v="C71471"/>
    <x v="3"/>
    <n v="1"/>
    <x v="880"/>
    <s v="817 Main St"/>
    <s v="Gift Card"/>
    <n v="4"/>
    <s v="Instagram"/>
    <n v="595.54"/>
  </r>
  <r>
    <s v="ORD200885"/>
    <s v="C61090"/>
    <x v="5"/>
    <n v="4"/>
    <x v="881"/>
    <s v="387 Main St"/>
    <s v="Credit Card"/>
    <n v="7"/>
    <s v="Google"/>
    <n v="2062.36"/>
  </r>
  <r>
    <s v="ORD200886"/>
    <s v="C29620"/>
    <x v="1"/>
    <n v="1"/>
    <x v="882"/>
    <s v="792 Main St"/>
    <s v="Credit Card"/>
    <n v="1"/>
    <s v="Google"/>
    <n v="460.13"/>
  </r>
  <r>
    <s v="ORD200887"/>
    <s v="C67932"/>
    <x v="3"/>
    <n v="3"/>
    <x v="883"/>
    <s v="857 Main St"/>
    <s v="Debit Card"/>
    <n v="7"/>
    <s v="Google"/>
    <n v="514.98"/>
  </r>
  <r>
    <s v="ORD200888"/>
    <s v="C14427"/>
    <x v="5"/>
    <n v="2"/>
    <x v="884"/>
    <s v="833 Main St"/>
    <s v="Credit Card"/>
    <n v="3"/>
    <s v="Instagram"/>
    <n v="533.9"/>
  </r>
  <r>
    <s v="ORD200889"/>
    <s v="C36725"/>
    <x v="0"/>
    <n v="5"/>
    <x v="885"/>
    <s v="350 Main St"/>
    <s v="Credit Card"/>
    <n v="8"/>
    <s v="Email"/>
    <n v="3253.6"/>
  </r>
  <r>
    <s v="ORD200890"/>
    <s v="C51921"/>
    <x v="5"/>
    <n v="3"/>
    <x v="886"/>
    <s v="943 Main St"/>
    <s v="Debit Card"/>
    <n v="5"/>
    <s v="Google"/>
    <n v="1318.59"/>
  </r>
  <r>
    <s v="ORD200891"/>
    <s v="C36534"/>
    <x v="0"/>
    <n v="3"/>
    <x v="887"/>
    <s v="918 Main St"/>
    <s v="Cash"/>
    <n v="7"/>
    <s v="Referral"/>
    <n v="1963.62"/>
  </r>
  <r>
    <s v="ORD200892"/>
    <s v="C72043"/>
    <x v="6"/>
    <n v="1"/>
    <x v="888"/>
    <s v="480 Main St"/>
    <s v="Cash"/>
    <n v="2"/>
    <s v="Referral"/>
    <n v="394.53"/>
  </r>
  <r>
    <s v="ORD200893"/>
    <s v="C99533"/>
    <x v="0"/>
    <n v="1"/>
    <x v="889"/>
    <s v="696 Main St"/>
    <s v="Cash"/>
    <n v="4"/>
    <s v="Referral"/>
    <n v="678.01"/>
  </r>
  <r>
    <s v="ORD200894"/>
    <s v="C90852"/>
    <x v="2"/>
    <n v="3"/>
    <x v="890"/>
    <s v="852 Main St"/>
    <s v="Online"/>
    <n v="8"/>
    <s v="Instagram"/>
    <n v="1725.03"/>
  </r>
  <r>
    <s v="ORD200895"/>
    <s v="C81882"/>
    <x v="3"/>
    <n v="3"/>
    <x v="891"/>
    <s v="832 Main St"/>
    <s v="Debit Card"/>
    <n v="6"/>
    <s v="Facebook"/>
    <n v="463.92"/>
  </r>
  <r>
    <s v="ORD200896"/>
    <s v="C85466"/>
    <x v="6"/>
    <n v="3"/>
    <x v="892"/>
    <s v="102 Main St"/>
    <s v="Gift Card"/>
    <n v="3"/>
    <s v="Google"/>
    <n v="441.87"/>
  </r>
  <r>
    <s v="ORD200897"/>
    <s v="C87995"/>
    <x v="5"/>
    <n v="4"/>
    <x v="893"/>
    <s v="358 Main St"/>
    <s v="Gift Card"/>
    <n v="5"/>
    <s v="Instagram"/>
    <n v="1925.92"/>
  </r>
  <r>
    <s v="ORD200898"/>
    <s v="C44619"/>
    <x v="0"/>
    <n v="3"/>
    <x v="894"/>
    <s v="742 Main St"/>
    <s v="Cash"/>
    <n v="6"/>
    <s v="Referral"/>
    <n v="475.11"/>
  </r>
  <r>
    <s v="ORD200899"/>
    <s v="C99904"/>
    <x v="4"/>
    <n v="2"/>
    <x v="895"/>
    <s v="552 Main St"/>
    <s v="Online"/>
    <n v="3"/>
    <s v="Instagram"/>
    <n v="646.74"/>
  </r>
  <r>
    <s v="ORD200900"/>
    <s v="C52342"/>
    <x v="5"/>
    <n v="5"/>
    <x v="896"/>
    <s v="991 Main St"/>
    <s v="Debit Card"/>
    <n v="9"/>
    <s v="Instagram"/>
    <n v="369.15"/>
  </r>
  <r>
    <s v="ORD200901"/>
    <s v="C44277"/>
    <x v="2"/>
    <n v="1"/>
    <x v="897"/>
    <s v="839 Main St"/>
    <s v="Debit Card"/>
    <n v="4"/>
    <s v="Referral"/>
    <n v="458.63"/>
  </r>
  <r>
    <s v="ORD200902"/>
    <s v="C61162"/>
    <x v="0"/>
    <n v="4"/>
    <x v="898"/>
    <s v="813 Main St"/>
    <s v="Debit Card"/>
    <n v="7"/>
    <s v="Facebook"/>
    <n v="721"/>
  </r>
  <r>
    <s v="ORD200903"/>
    <s v="C80868"/>
    <x v="0"/>
    <n v="3"/>
    <x v="899"/>
    <s v="205 Main St"/>
    <s v="Credit Card"/>
    <n v="7"/>
    <s v="Email"/>
    <n v="1420.47"/>
  </r>
  <r>
    <s v="ORD200904"/>
    <s v="C16693"/>
    <x v="0"/>
    <n v="4"/>
    <x v="900"/>
    <s v="262 Main St"/>
    <s v="Cash"/>
    <n v="8"/>
    <s v="Referral"/>
    <n v="949.72"/>
  </r>
  <r>
    <s v="ORD200905"/>
    <s v="C67818"/>
    <x v="5"/>
    <n v="1"/>
    <x v="901"/>
    <s v="101 Main St"/>
    <s v="Gift Card"/>
    <n v="6"/>
    <s v="Facebook"/>
    <n v="442.39"/>
  </r>
  <r>
    <s v="ORD200906"/>
    <s v="C49938"/>
    <x v="0"/>
    <n v="1"/>
    <x v="902"/>
    <s v="141 Main St"/>
    <s v="Cash"/>
    <n v="2"/>
    <s v="Email"/>
    <n v="62.12"/>
  </r>
  <r>
    <s v="ORD200907"/>
    <s v="C90898"/>
    <x v="6"/>
    <n v="5"/>
    <x v="903"/>
    <s v="583 Main St"/>
    <s v="Gift Card"/>
    <n v="7"/>
    <s v="Referral"/>
    <n v="1491.95"/>
  </r>
  <r>
    <s v="ORD200908"/>
    <s v="C35117"/>
    <x v="6"/>
    <n v="2"/>
    <x v="904"/>
    <s v="332 Main St"/>
    <s v="Credit Card"/>
    <n v="2"/>
    <s v="Google"/>
    <n v="1395.86"/>
  </r>
  <r>
    <s v="ORD200909"/>
    <s v="C60203"/>
    <x v="2"/>
    <n v="2"/>
    <x v="905"/>
    <s v="569 Main St"/>
    <s v="Cash"/>
    <n v="5"/>
    <s v="Instagram"/>
    <n v="583.70000000000005"/>
  </r>
  <r>
    <s v="ORD200910"/>
    <s v="C36174"/>
    <x v="4"/>
    <n v="3"/>
    <x v="906"/>
    <s v="348 Main St"/>
    <s v="Cash"/>
    <n v="3"/>
    <s v="Instagram"/>
    <n v="926.94"/>
  </r>
  <r>
    <s v="ORD200911"/>
    <s v="C80872"/>
    <x v="6"/>
    <n v="5"/>
    <x v="907"/>
    <s v="593 Main St"/>
    <s v="Cash"/>
    <n v="9"/>
    <s v="Instagram"/>
    <n v="1984.3"/>
  </r>
  <r>
    <s v="ORD200912"/>
    <s v="C67604"/>
    <x v="6"/>
    <n v="2"/>
    <x v="908"/>
    <s v="318 Main St"/>
    <s v="Online"/>
    <n v="7"/>
    <s v="Email"/>
    <n v="279.38"/>
  </r>
  <r>
    <s v="ORD200913"/>
    <s v="C45599"/>
    <x v="4"/>
    <n v="5"/>
    <x v="909"/>
    <s v="505 Main St"/>
    <s v="Credit Card"/>
    <n v="8"/>
    <s v="Facebook"/>
    <n v="2379.75"/>
  </r>
  <r>
    <s v="ORD200914"/>
    <s v="C70352"/>
    <x v="6"/>
    <n v="1"/>
    <x v="910"/>
    <s v="955 Main St"/>
    <s v="Gift Card"/>
    <n v="4"/>
    <s v="Facebook"/>
    <n v="626.6"/>
  </r>
  <r>
    <s v="ORD200915"/>
    <s v="C20643"/>
    <x v="5"/>
    <n v="4"/>
    <x v="911"/>
    <s v="939 Main St"/>
    <s v="Debit Card"/>
    <n v="4"/>
    <s v="Referral"/>
    <n v="2011.96"/>
  </r>
  <r>
    <s v="ORD200916"/>
    <s v="C35669"/>
    <x v="4"/>
    <n v="5"/>
    <x v="912"/>
    <s v="165 Main St"/>
    <s v="Cash"/>
    <n v="6"/>
    <s v="Referral"/>
    <n v="2894.15"/>
  </r>
  <r>
    <s v="ORD200917"/>
    <s v="C65524"/>
    <x v="5"/>
    <n v="5"/>
    <x v="913"/>
    <s v="836 Main St"/>
    <s v="Credit Card"/>
    <n v="7"/>
    <s v="Google"/>
    <n v="1919.1"/>
  </r>
  <r>
    <s v="ORD200918"/>
    <s v="C74359"/>
    <x v="5"/>
    <n v="5"/>
    <x v="914"/>
    <s v="706 Main St"/>
    <s v="Online"/>
    <n v="5"/>
    <s v="Instagram"/>
    <n v="1841.25"/>
  </r>
  <r>
    <s v="ORD200919"/>
    <s v="C92086"/>
    <x v="4"/>
    <n v="2"/>
    <x v="915"/>
    <s v="187 Main St"/>
    <s v="Online"/>
    <n v="3"/>
    <s v="Referral"/>
    <n v="749.2"/>
  </r>
  <r>
    <s v="ORD200920"/>
    <s v="C26137"/>
    <x v="2"/>
    <n v="2"/>
    <x v="916"/>
    <s v="978 Main St"/>
    <s v="Credit Card"/>
    <n v="6"/>
    <s v="Instagram"/>
    <n v="856.18"/>
  </r>
  <r>
    <s v="ORD200921"/>
    <s v="C90573"/>
    <x v="2"/>
    <n v="1"/>
    <x v="917"/>
    <s v="144 Main St"/>
    <s v="Gift Card"/>
    <n v="3"/>
    <s v="Referral"/>
    <n v="438.93"/>
  </r>
  <r>
    <s v="ORD200922"/>
    <s v="C81857"/>
    <x v="6"/>
    <n v="2"/>
    <x v="918"/>
    <s v="487 Main St"/>
    <s v="Credit Card"/>
    <n v="3"/>
    <s v="Instagram"/>
    <n v="1127.6400000000001"/>
  </r>
  <r>
    <s v="ORD200923"/>
    <s v="C91582"/>
    <x v="4"/>
    <n v="3"/>
    <x v="919"/>
    <s v="836 Main St"/>
    <s v="Credit Card"/>
    <n v="7"/>
    <s v="Facebook"/>
    <n v="1949.79"/>
  </r>
  <r>
    <s v="ORD200924"/>
    <s v="C81319"/>
    <x v="4"/>
    <n v="5"/>
    <x v="920"/>
    <s v="991 Main St"/>
    <s v="Cash"/>
    <n v="5"/>
    <s v="Email"/>
    <n v="1342.15"/>
  </r>
  <r>
    <s v="ORD200925"/>
    <s v="C78500"/>
    <x v="0"/>
    <n v="5"/>
    <x v="921"/>
    <s v="304 Main St"/>
    <s v="Online"/>
    <n v="10"/>
    <s v="Email"/>
    <n v="2512.35"/>
  </r>
  <r>
    <s v="ORD200926"/>
    <s v="C67533"/>
    <x v="6"/>
    <n v="1"/>
    <x v="922"/>
    <s v="672 Main St"/>
    <s v="Cash"/>
    <n v="1"/>
    <s v="Email"/>
    <n v="26.95"/>
  </r>
  <r>
    <s v="ORD200927"/>
    <s v="C35566"/>
    <x v="5"/>
    <n v="4"/>
    <x v="923"/>
    <s v="638 Main St"/>
    <s v="Debit Card"/>
    <n v="7"/>
    <s v="Google"/>
    <n v="258.76"/>
  </r>
  <r>
    <s v="ORD200928"/>
    <s v="C77166"/>
    <x v="5"/>
    <n v="3"/>
    <x v="924"/>
    <s v="821 Main St"/>
    <s v="Debit Card"/>
    <n v="3"/>
    <s v="Referral"/>
    <n v="741.33"/>
  </r>
  <r>
    <s v="ORD200929"/>
    <s v="C67936"/>
    <x v="2"/>
    <n v="2"/>
    <x v="925"/>
    <s v="553 Main St"/>
    <s v="Debit Card"/>
    <n v="3"/>
    <s v="Email"/>
    <n v="1072.5"/>
  </r>
  <r>
    <s v="ORD200930"/>
    <s v="C59554"/>
    <x v="1"/>
    <n v="2"/>
    <x v="926"/>
    <s v="382 Main St"/>
    <s v="Debit Card"/>
    <n v="4"/>
    <s v="Email"/>
    <n v="912.08"/>
  </r>
  <r>
    <s v="ORD200931"/>
    <s v="C14005"/>
    <x v="4"/>
    <n v="2"/>
    <x v="927"/>
    <s v="623 Main St"/>
    <s v="Credit Card"/>
    <n v="4"/>
    <s v="Google"/>
    <n v="80.459999999999994"/>
  </r>
  <r>
    <s v="ORD200932"/>
    <s v="C26118"/>
    <x v="5"/>
    <n v="2"/>
    <x v="928"/>
    <s v="168 Main St"/>
    <s v="Online"/>
    <n v="7"/>
    <s v="Instagram"/>
    <n v="144.78"/>
  </r>
  <r>
    <s v="ORD200933"/>
    <s v="C59685"/>
    <x v="0"/>
    <n v="2"/>
    <x v="929"/>
    <s v="255 Main St"/>
    <s v="Online"/>
    <n v="2"/>
    <s v="Referral"/>
    <n v="788.32"/>
  </r>
  <r>
    <s v="ORD200934"/>
    <s v="C40304"/>
    <x v="5"/>
    <n v="4"/>
    <x v="930"/>
    <s v="692 Main St"/>
    <s v="Gift Card"/>
    <n v="8"/>
    <s v="Referral"/>
    <n v="479.36"/>
  </r>
  <r>
    <s v="ORD200935"/>
    <s v="C39593"/>
    <x v="1"/>
    <n v="3"/>
    <x v="931"/>
    <s v="398 Main St"/>
    <s v="Credit Card"/>
    <n v="3"/>
    <s v="Instagram"/>
    <n v="2078.13"/>
  </r>
  <r>
    <s v="ORD200936"/>
    <s v="C50612"/>
    <x v="3"/>
    <n v="4"/>
    <x v="932"/>
    <s v="737 Main St"/>
    <s v="Online"/>
    <n v="4"/>
    <s v="Instagram"/>
    <n v="226.64"/>
  </r>
  <r>
    <s v="ORD200937"/>
    <s v="C39791"/>
    <x v="3"/>
    <n v="2"/>
    <x v="933"/>
    <s v="536 Main St"/>
    <s v="Debit Card"/>
    <n v="5"/>
    <s v="Email"/>
    <n v="597.05999999999995"/>
  </r>
  <r>
    <s v="ORD200938"/>
    <s v="C39017"/>
    <x v="3"/>
    <n v="3"/>
    <x v="934"/>
    <s v="696 Main St"/>
    <s v="Credit Card"/>
    <n v="6"/>
    <s v="Referral"/>
    <n v="994.37999999999988"/>
  </r>
  <r>
    <s v="ORD200939"/>
    <s v="C48510"/>
    <x v="5"/>
    <n v="2"/>
    <x v="935"/>
    <s v="212 Main St"/>
    <s v="Cash"/>
    <n v="7"/>
    <s v="Instagram"/>
    <n v="1042.8"/>
  </r>
  <r>
    <s v="ORD200940"/>
    <s v="C74003"/>
    <x v="4"/>
    <n v="4"/>
    <x v="936"/>
    <s v="679 Main St"/>
    <s v="Online"/>
    <n v="4"/>
    <s v="Google"/>
    <n v="1221.28"/>
  </r>
  <r>
    <s v="ORD200941"/>
    <s v="C91155"/>
    <x v="4"/>
    <n v="5"/>
    <x v="937"/>
    <s v="599 Main St"/>
    <s v="Credit Card"/>
    <n v="9"/>
    <s v="Email"/>
    <n v="558.5"/>
  </r>
  <r>
    <s v="ORD200942"/>
    <s v="C17591"/>
    <x v="2"/>
    <n v="1"/>
    <x v="938"/>
    <s v="882 Main St"/>
    <s v="Credit Card"/>
    <n v="1"/>
    <s v="Email"/>
    <n v="479.76"/>
  </r>
  <r>
    <s v="ORD200943"/>
    <s v="C43330"/>
    <x v="0"/>
    <n v="3"/>
    <x v="939"/>
    <s v="355 Main St"/>
    <s v="Gift Card"/>
    <n v="6"/>
    <s v="Facebook"/>
    <n v="580.47"/>
  </r>
  <r>
    <s v="ORD200944"/>
    <s v="C32687"/>
    <x v="5"/>
    <n v="2"/>
    <x v="940"/>
    <s v="448 Main St"/>
    <s v="Online"/>
    <n v="7"/>
    <s v="Google"/>
    <n v="852.44"/>
  </r>
  <r>
    <s v="ORD200945"/>
    <s v="C79722"/>
    <x v="2"/>
    <n v="5"/>
    <x v="941"/>
    <s v="619 Main St"/>
    <s v="Gift Card"/>
    <n v="10"/>
    <s v="Referral"/>
    <n v="1382.2"/>
  </r>
  <r>
    <s v="ORD200946"/>
    <s v="C65021"/>
    <x v="1"/>
    <n v="2"/>
    <x v="942"/>
    <s v="546 Main St"/>
    <s v="Cash"/>
    <n v="4"/>
    <s v="Email"/>
    <n v="809.92"/>
  </r>
  <r>
    <s v="ORD200947"/>
    <s v="C85520"/>
    <x v="1"/>
    <n v="4"/>
    <x v="943"/>
    <s v="119 Main St"/>
    <s v="Online"/>
    <n v="9"/>
    <s v="Email"/>
    <n v="1862.64"/>
  </r>
  <r>
    <s v="ORD200948"/>
    <s v="C94569"/>
    <x v="1"/>
    <n v="2"/>
    <x v="944"/>
    <s v="739 Main St"/>
    <s v="Gift Card"/>
    <n v="2"/>
    <s v="Google"/>
    <n v="1188.1400000000001"/>
  </r>
  <r>
    <s v="ORD200949"/>
    <s v="C55778"/>
    <x v="6"/>
    <n v="5"/>
    <x v="945"/>
    <s v="319 Main St"/>
    <s v="Cash"/>
    <n v="10"/>
    <s v="Referral"/>
    <n v="551.9"/>
  </r>
  <r>
    <s v="ORD200950"/>
    <s v="C19722"/>
    <x v="5"/>
    <n v="1"/>
    <x v="946"/>
    <s v="891 Main St"/>
    <s v="Credit Card"/>
    <n v="4"/>
    <s v="Instagram"/>
    <n v="596.24"/>
  </r>
  <r>
    <s v="ORD200951"/>
    <s v="C74928"/>
    <x v="4"/>
    <n v="2"/>
    <x v="947"/>
    <s v="589 Main St"/>
    <s v="Online"/>
    <n v="4"/>
    <s v="Email"/>
    <n v="612.48"/>
  </r>
  <r>
    <s v="ORD200952"/>
    <s v="C49111"/>
    <x v="0"/>
    <n v="3"/>
    <x v="948"/>
    <s v="225 Main St"/>
    <s v="Online"/>
    <n v="5"/>
    <s v="Facebook"/>
    <n v="1510.17"/>
  </r>
  <r>
    <s v="ORD200953"/>
    <s v="C43721"/>
    <x v="1"/>
    <n v="1"/>
    <x v="949"/>
    <s v="971 Main St"/>
    <s v="Cash"/>
    <n v="2"/>
    <s v="Facebook"/>
    <n v="131.61000000000001"/>
  </r>
  <r>
    <s v="ORD200954"/>
    <s v="C68609"/>
    <x v="3"/>
    <n v="3"/>
    <x v="950"/>
    <s v="240 Main St"/>
    <s v="Gift Card"/>
    <n v="3"/>
    <s v="Google"/>
    <n v="1330.32"/>
  </r>
  <r>
    <s v="ORD200955"/>
    <s v="C82068"/>
    <x v="3"/>
    <n v="1"/>
    <x v="951"/>
    <s v="164 Main St"/>
    <s v="Gift Card"/>
    <n v="3"/>
    <s v="Instagram"/>
    <n v="408.13"/>
  </r>
  <r>
    <s v="ORD200956"/>
    <s v="C21191"/>
    <x v="1"/>
    <n v="2"/>
    <x v="952"/>
    <s v="381 Main St"/>
    <s v="Debit Card"/>
    <n v="3"/>
    <s v="Referral"/>
    <n v="321.95999999999998"/>
  </r>
  <r>
    <s v="ORD200957"/>
    <s v="C73575"/>
    <x v="0"/>
    <n v="5"/>
    <x v="953"/>
    <s v="851 Main St"/>
    <s v="Cash"/>
    <n v="8"/>
    <s v="Facebook"/>
    <n v="3219.45"/>
  </r>
  <r>
    <s v="ORD200958"/>
    <s v="C82685"/>
    <x v="6"/>
    <n v="3"/>
    <x v="954"/>
    <s v="537 Main St"/>
    <s v="Gift Card"/>
    <n v="7"/>
    <s v="Email"/>
    <n v="475.98"/>
  </r>
  <r>
    <s v="ORD200959"/>
    <s v="C73996"/>
    <x v="2"/>
    <n v="2"/>
    <x v="955"/>
    <s v="856 Main St"/>
    <s v="Credit Card"/>
    <n v="6"/>
    <s v="Instagram"/>
    <n v="287.64"/>
  </r>
  <r>
    <s v="ORD200960"/>
    <s v="C87687"/>
    <x v="5"/>
    <n v="3"/>
    <x v="956"/>
    <s v="312 Main St"/>
    <s v="Gift Card"/>
    <n v="3"/>
    <s v="Google"/>
    <n v="1137.21"/>
  </r>
  <r>
    <s v="ORD200961"/>
    <s v="C55464"/>
    <x v="1"/>
    <n v="1"/>
    <x v="957"/>
    <s v="532 Main St"/>
    <s v="Online"/>
    <n v="1"/>
    <s v="Facebook"/>
    <n v="601.36"/>
  </r>
  <r>
    <s v="ORD200962"/>
    <s v="C12459"/>
    <x v="1"/>
    <n v="2"/>
    <x v="958"/>
    <s v="838 Main St"/>
    <s v="Gift Card"/>
    <n v="4"/>
    <s v="Referral"/>
    <n v="284.16000000000003"/>
  </r>
  <r>
    <s v="ORD200963"/>
    <s v="C88075"/>
    <x v="3"/>
    <n v="5"/>
    <x v="959"/>
    <s v="970 Main St"/>
    <s v="Online"/>
    <n v="9"/>
    <s v="Google"/>
    <n v="2651.7"/>
  </r>
  <r>
    <s v="ORD200964"/>
    <s v="C18583"/>
    <x v="1"/>
    <n v="5"/>
    <x v="960"/>
    <s v="778 Main St"/>
    <s v="Credit Card"/>
    <n v="10"/>
    <s v="Referral"/>
    <n v="1822.1"/>
  </r>
  <r>
    <s v="ORD200965"/>
    <s v="C70412"/>
    <x v="5"/>
    <n v="4"/>
    <x v="961"/>
    <s v="791 Main St"/>
    <s v="Gift Card"/>
    <n v="5"/>
    <s v="Email"/>
    <n v="2313.12"/>
  </r>
  <r>
    <s v="ORD200966"/>
    <s v="C58503"/>
    <x v="0"/>
    <n v="5"/>
    <x v="962"/>
    <s v="290 Main St"/>
    <s v="Credit Card"/>
    <n v="7"/>
    <s v="Facebook"/>
    <n v="1402.6"/>
  </r>
  <r>
    <s v="ORD200967"/>
    <s v="C52879"/>
    <x v="2"/>
    <n v="5"/>
    <x v="963"/>
    <s v="502 Main St"/>
    <s v="Credit Card"/>
    <n v="5"/>
    <s v="Google"/>
    <n v="3194.6"/>
  </r>
  <r>
    <s v="ORD200968"/>
    <s v="C67870"/>
    <x v="0"/>
    <n v="4"/>
    <x v="964"/>
    <s v="664 Main St"/>
    <s v="Credit Card"/>
    <n v="6"/>
    <s v="Referral"/>
    <n v="1648.8"/>
  </r>
  <r>
    <s v="ORD200969"/>
    <s v="C19439"/>
    <x v="6"/>
    <n v="1"/>
    <x v="965"/>
    <s v="675 Main St"/>
    <s v="Gift Card"/>
    <n v="2"/>
    <s v="Facebook"/>
    <n v="440.34"/>
  </r>
  <r>
    <s v="ORD200970"/>
    <s v="C72664"/>
    <x v="6"/>
    <n v="1"/>
    <x v="966"/>
    <s v="241 Main St"/>
    <s v="Cash"/>
    <n v="5"/>
    <s v="Instagram"/>
    <n v="627.15"/>
  </r>
  <r>
    <s v="ORD200971"/>
    <s v="C32650"/>
    <x v="0"/>
    <n v="2"/>
    <x v="967"/>
    <s v="934 Main St"/>
    <s v="Cash"/>
    <n v="4"/>
    <s v="Referral"/>
    <n v="1210.52"/>
  </r>
  <r>
    <s v="ORD200972"/>
    <s v="C66438"/>
    <x v="5"/>
    <n v="1"/>
    <x v="968"/>
    <s v="816 Main St"/>
    <s v="Cash"/>
    <n v="5"/>
    <s v="Facebook"/>
    <n v="90.27"/>
  </r>
  <r>
    <s v="ORD200973"/>
    <s v="C70010"/>
    <x v="6"/>
    <n v="5"/>
    <x v="969"/>
    <s v="141 Main St"/>
    <s v="Online"/>
    <n v="10"/>
    <s v="Referral"/>
    <n v="1153.8499999999999"/>
  </r>
  <r>
    <s v="ORD200974"/>
    <s v="C30722"/>
    <x v="6"/>
    <n v="5"/>
    <x v="970"/>
    <s v="274 Main St"/>
    <s v="Gift Card"/>
    <n v="5"/>
    <s v="Email"/>
    <n v="1333.9"/>
  </r>
  <r>
    <s v="ORD200975"/>
    <s v="C70529"/>
    <x v="6"/>
    <n v="1"/>
    <x v="971"/>
    <s v="974 Main St"/>
    <s v="Gift Card"/>
    <n v="6"/>
    <s v="Email"/>
    <n v="105.92"/>
  </r>
  <r>
    <s v="ORD200976"/>
    <s v="C18984"/>
    <x v="2"/>
    <n v="3"/>
    <x v="972"/>
    <s v="650 Main St"/>
    <s v="Credit Card"/>
    <n v="6"/>
    <s v="Referral"/>
    <n v="1767.9"/>
  </r>
  <r>
    <s v="ORD200977"/>
    <s v="C85841"/>
    <x v="3"/>
    <n v="4"/>
    <x v="973"/>
    <s v="608 Main St"/>
    <s v="Cash"/>
    <n v="8"/>
    <s v="Google"/>
    <n v="2597.88"/>
  </r>
  <r>
    <s v="ORD200978"/>
    <s v="C41508"/>
    <x v="4"/>
    <n v="4"/>
    <x v="974"/>
    <s v="993 Main St"/>
    <s v="Cash"/>
    <n v="5"/>
    <s v="Google"/>
    <n v="429.96"/>
  </r>
  <r>
    <s v="ORD200979"/>
    <s v="C75018"/>
    <x v="0"/>
    <n v="3"/>
    <x v="975"/>
    <s v="299 Main St"/>
    <s v="Cash"/>
    <n v="7"/>
    <s v="Facebook"/>
    <n v="2007.18"/>
  </r>
  <r>
    <s v="ORD200980"/>
    <s v="C84320"/>
    <x v="3"/>
    <n v="3"/>
    <x v="976"/>
    <s v="107 Main St"/>
    <s v="Cash"/>
    <n v="7"/>
    <s v="Instagram"/>
    <n v="208.95"/>
  </r>
  <r>
    <s v="ORD200981"/>
    <s v="C12609"/>
    <x v="1"/>
    <n v="4"/>
    <x v="977"/>
    <s v="490 Main St"/>
    <s v="Debit Card"/>
    <n v="8"/>
    <s v="Email"/>
    <n v="547.32000000000005"/>
  </r>
  <r>
    <s v="ORD200982"/>
    <s v="C64935"/>
    <x v="0"/>
    <n v="1"/>
    <x v="978"/>
    <s v="707 Main St"/>
    <s v="Gift Card"/>
    <n v="2"/>
    <s v="Referral"/>
    <n v="304.11"/>
  </r>
  <r>
    <s v="ORD200983"/>
    <s v="C67528"/>
    <x v="0"/>
    <n v="4"/>
    <x v="979"/>
    <s v="110 Main St"/>
    <s v="Gift Card"/>
    <n v="5"/>
    <s v="Email"/>
    <n v="1185.1199999999999"/>
  </r>
  <r>
    <s v="ORD200984"/>
    <s v="C44176"/>
    <x v="6"/>
    <n v="1"/>
    <x v="980"/>
    <s v="706 Main St"/>
    <s v="Credit Card"/>
    <n v="1"/>
    <s v="Facebook"/>
    <n v="77.64"/>
  </r>
  <r>
    <s v="ORD200985"/>
    <s v="C92788"/>
    <x v="6"/>
    <n v="1"/>
    <x v="981"/>
    <s v="948 Main St"/>
    <s v="Gift Card"/>
    <n v="6"/>
    <s v="Google"/>
    <n v="243.71"/>
  </r>
  <r>
    <s v="ORD200986"/>
    <s v="C69213"/>
    <x v="5"/>
    <n v="4"/>
    <x v="982"/>
    <s v="533 Main St"/>
    <s v="Credit Card"/>
    <n v="7"/>
    <s v="Email"/>
    <n v="2579.84"/>
  </r>
  <r>
    <s v="ORD200987"/>
    <s v="C67387"/>
    <x v="1"/>
    <n v="5"/>
    <x v="983"/>
    <s v="436 Main St"/>
    <s v="Gift Card"/>
    <n v="8"/>
    <s v="Instagram"/>
    <n v="1418.65"/>
  </r>
  <r>
    <s v="ORD200988"/>
    <s v="C90318"/>
    <x v="6"/>
    <n v="2"/>
    <x v="984"/>
    <s v="818 Main St"/>
    <s v="Gift Card"/>
    <n v="5"/>
    <s v="Instagram"/>
    <n v="1259.1199999999999"/>
  </r>
  <r>
    <s v="ORD200989"/>
    <s v="C49995"/>
    <x v="5"/>
    <n v="4"/>
    <x v="985"/>
    <s v="559 Main St"/>
    <s v="Credit Card"/>
    <n v="4"/>
    <s v="Instagram"/>
    <n v="984.44"/>
  </r>
  <r>
    <s v="ORD200990"/>
    <s v="C52313"/>
    <x v="1"/>
    <n v="2"/>
    <x v="986"/>
    <s v="913 Main St"/>
    <s v="Debit Card"/>
    <n v="2"/>
    <s v="Google"/>
    <n v="836.52"/>
  </r>
  <r>
    <s v="ORD200991"/>
    <s v="C10211"/>
    <x v="6"/>
    <n v="5"/>
    <x v="66"/>
    <s v="598 Main St"/>
    <s v="Debit Card"/>
    <n v="10"/>
    <s v="Google"/>
    <n v="635.90000000000009"/>
  </r>
  <r>
    <s v="ORD200992"/>
    <s v="C97907"/>
    <x v="4"/>
    <n v="3"/>
    <x v="987"/>
    <s v="933 Main St"/>
    <s v="Gift Card"/>
    <n v="4"/>
    <s v="Referral"/>
    <n v="1758.63"/>
  </r>
  <r>
    <s v="ORD200993"/>
    <s v="C61384"/>
    <x v="0"/>
    <n v="3"/>
    <x v="988"/>
    <s v="576 Main St"/>
    <s v="Gift Card"/>
    <n v="5"/>
    <s v="Instagram"/>
    <n v="802.34999999999991"/>
  </r>
  <r>
    <s v="ORD200994"/>
    <s v="C27613"/>
    <x v="2"/>
    <n v="4"/>
    <x v="989"/>
    <s v="971 Main St"/>
    <s v="Debit Card"/>
    <n v="9"/>
    <s v="Google"/>
    <n v="2462.6"/>
  </r>
  <r>
    <s v="ORD200995"/>
    <s v="C99271"/>
    <x v="0"/>
    <n v="2"/>
    <x v="990"/>
    <s v="959 Main St"/>
    <s v="Cash"/>
    <n v="5"/>
    <s v="Facebook"/>
    <n v="226.58"/>
  </r>
  <r>
    <s v="ORD200996"/>
    <s v="C28648"/>
    <x v="0"/>
    <n v="4"/>
    <x v="991"/>
    <s v="101 Main St"/>
    <s v="Debit Card"/>
    <n v="7"/>
    <s v="Facebook"/>
    <n v="1895.44"/>
  </r>
  <r>
    <s v="ORD200997"/>
    <s v="C26210"/>
    <x v="5"/>
    <n v="3"/>
    <x v="992"/>
    <s v="805 Main St"/>
    <s v="Cash"/>
    <n v="6"/>
    <s v="Facebook"/>
    <n v="1334.25"/>
  </r>
  <r>
    <s v="ORD200998"/>
    <s v="C90350"/>
    <x v="1"/>
    <n v="2"/>
    <x v="358"/>
    <s v="783 Main St"/>
    <s v="Debit Card"/>
    <n v="6"/>
    <s v="Google"/>
    <n v="367.34"/>
  </r>
  <r>
    <s v="ORD200999"/>
    <s v="C61957"/>
    <x v="4"/>
    <n v="1"/>
    <x v="993"/>
    <s v="652 Main St"/>
    <s v="Cash"/>
    <n v="6"/>
    <s v="Google"/>
    <n v="483.38"/>
  </r>
  <r>
    <s v="ORD201000"/>
    <s v="C90132"/>
    <x v="4"/>
    <n v="5"/>
    <x v="994"/>
    <s v="582 Main St"/>
    <s v="Online"/>
    <n v="9"/>
    <s v="Email"/>
    <n v="1304.6500000000001"/>
  </r>
  <r>
    <s v="ORD201001"/>
    <s v="C31371"/>
    <x v="4"/>
    <n v="2"/>
    <x v="995"/>
    <s v="122 Main St"/>
    <s v="Gift Card"/>
    <n v="6"/>
    <s v="Referral"/>
    <n v="507.36"/>
  </r>
  <r>
    <s v="ORD201002"/>
    <s v="C83911"/>
    <x v="2"/>
    <n v="4"/>
    <x v="996"/>
    <s v="944 Main St"/>
    <s v="Cash"/>
    <n v="5"/>
    <s v="Referral"/>
    <n v="2799.52"/>
  </r>
  <r>
    <s v="ORD201003"/>
    <s v="C84700"/>
    <x v="4"/>
    <n v="5"/>
    <x v="997"/>
    <s v="582 Main St"/>
    <s v="Cash"/>
    <n v="7"/>
    <s v="Google"/>
    <n v="1599.85"/>
  </r>
  <r>
    <s v="ORD201004"/>
    <s v="C87529"/>
    <x v="3"/>
    <n v="4"/>
    <x v="998"/>
    <s v="296 Main St"/>
    <s v="Online"/>
    <n v="8"/>
    <s v="Referral"/>
    <n v="987.64"/>
  </r>
  <r>
    <s v="ORD201005"/>
    <s v="C38065"/>
    <x v="4"/>
    <n v="3"/>
    <x v="999"/>
    <s v="426 Main St"/>
    <s v="Credit Card"/>
    <n v="6"/>
    <s v="Google"/>
    <n v="1178.55"/>
  </r>
  <r>
    <s v="ORD201006"/>
    <s v="C27435"/>
    <x v="2"/>
    <n v="5"/>
    <x v="1000"/>
    <s v="860 Main St"/>
    <s v="Cash"/>
    <n v="7"/>
    <s v="Facebook"/>
    <n v="2104.9"/>
  </r>
  <r>
    <s v="ORD201007"/>
    <s v="C46651"/>
    <x v="0"/>
    <n v="2"/>
    <x v="1001"/>
    <s v="839 Main St"/>
    <s v="Cash"/>
    <n v="4"/>
    <s v="Facebook"/>
    <n v="146.52000000000001"/>
  </r>
  <r>
    <s v="ORD201008"/>
    <s v="C62557"/>
    <x v="0"/>
    <n v="3"/>
    <x v="1002"/>
    <s v="257 Main St"/>
    <s v="Cash"/>
    <n v="8"/>
    <s v="Instagram"/>
    <n v="1232.6400000000001"/>
  </r>
  <r>
    <s v="ORD201009"/>
    <s v="C54494"/>
    <x v="2"/>
    <n v="2"/>
    <x v="1003"/>
    <s v="696 Main St"/>
    <s v="Credit Card"/>
    <n v="2"/>
    <s v="Email"/>
    <n v="352.92"/>
  </r>
  <r>
    <s v="ORD201010"/>
    <s v="C33729"/>
    <x v="0"/>
    <n v="3"/>
    <x v="1004"/>
    <s v="533 Main St"/>
    <s v="Credit Card"/>
    <n v="6"/>
    <s v="Email"/>
    <n v="1978.71"/>
  </r>
  <r>
    <s v="ORD201011"/>
    <s v="C47823"/>
    <x v="1"/>
    <n v="2"/>
    <x v="1005"/>
    <s v="654 Main St"/>
    <s v="Online"/>
    <n v="3"/>
    <s v="Google"/>
    <n v="956.72"/>
  </r>
  <r>
    <s v="ORD201012"/>
    <s v="C84570"/>
    <x v="4"/>
    <n v="4"/>
    <x v="1006"/>
    <s v="301 Main St"/>
    <s v="Online"/>
    <n v="6"/>
    <s v="Facebook"/>
    <n v="120.2"/>
  </r>
  <r>
    <s v="ORD201013"/>
    <s v="C91123"/>
    <x v="5"/>
    <n v="4"/>
    <x v="1007"/>
    <s v="842 Main St"/>
    <s v="Cash"/>
    <n v="9"/>
    <s v="Facebook"/>
    <n v="1202.24"/>
  </r>
  <r>
    <s v="ORD201014"/>
    <s v="C92548"/>
    <x v="2"/>
    <n v="5"/>
    <x v="1008"/>
    <s v="160 Main St"/>
    <s v="Debit Card"/>
    <n v="6"/>
    <s v="Email"/>
    <n v="1132.25"/>
  </r>
  <r>
    <s v="ORD201015"/>
    <s v="C97454"/>
    <x v="4"/>
    <n v="2"/>
    <x v="1009"/>
    <s v="892 Main St"/>
    <s v="Online"/>
    <n v="2"/>
    <s v="Instagram"/>
    <n v="698.8"/>
  </r>
  <r>
    <s v="ORD201016"/>
    <s v="C20257"/>
    <x v="2"/>
    <n v="5"/>
    <x v="1010"/>
    <s v="669 Main St"/>
    <s v="Debit Card"/>
    <n v="7"/>
    <s v="Email"/>
    <n v="1343.9"/>
  </r>
  <r>
    <s v="ORD201017"/>
    <s v="C51694"/>
    <x v="3"/>
    <n v="2"/>
    <x v="1011"/>
    <s v="953 Main St"/>
    <s v="Gift Card"/>
    <n v="6"/>
    <s v="Referral"/>
    <n v="1361.7"/>
  </r>
  <r>
    <s v="ORD201018"/>
    <s v="C77499"/>
    <x v="5"/>
    <n v="3"/>
    <x v="1012"/>
    <s v="209 Main St"/>
    <s v="Cash"/>
    <n v="3"/>
    <s v="Instagram"/>
    <n v="547.43999999999994"/>
  </r>
  <r>
    <s v="ORD201019"/>
    <s v="C28386"/>
    <x v="6"/>
    <n v="1"/>
    <x v="1013"/>
    <s v="293 Main St"/>
    <s v="Cash"/>
    <n v="2"/>
    <s v="Referral"/>
    <n v="277.08999999999997"/>
  </r>
  <r>
    <s v="ORD201020"/>
    <s v="C50211"/>
    <x v="2"/>
    <n v="2"/>
    <x v="1014"/>
    <s v="312 Main St"/>
    <s v="Online"/>
    <n v="3"/>
    <s v="Instagram"/>
    <n v="53"/>
  </r>
  <r>
    <s v="ORD201021"/>
    <s v="C74519"/>
    <x v="1"/>
    <n v="3"/>
    <x v="1015"/>
    <s v="309 Main St"/>
    <s v="Credit Card"/>
    <n v="4"/>
    <s v="Email"/>
    <n v="945.81"/>
  </r>
  <r>
    <s v="ORD201022"/>
    <s v="C19071"/>
    <x v="2"/>
    <n v="3"/>
    <x v="1016"/>
    <s v="396 Main St"/>
    <s v="Credit Card"/>
    <n v="8"/>
    <s v="Referral"/>
    <n v="1352.94"/>
  </r>
  <r>
    <s v="ORD201023"/>
    <s v="C65251"/>
    <x v="5"/>
    <n v="5"/>
    <x v="1017"/>
    <s v="291 Main St"/>
    <s v="Cash"/>
    <n v="10"/>
    <s v="Referral"/>
    <n v="1168.3499999999999"/>
  </r>
  <r>
    <s v="ORD201024"/>
    <s v="C90612"/>
    <x v="3"/>
    <n v="3"/>
    <x v="1018"/>
    <s v="731 Main St"/>
    <s v="Cash"/>
    <n v="7"/>
    <s v="Facebook"/>
    <n v="1103.25"/>
  </r>
  <r>
    <s v="ORD201025"/>
    <s v="C28406"/>
    <x v="3"/>
    <n v="1"/>
    <x v="1019"/>
    <s v="174 Main St"/>
    <s v="Gift Card"/>
    <n v="2"/>
    <s v="Instagram"/>
    <n v="23.53"/>
  </r>
  <r>
    <s v="ORD201026"/>
    <s v="C55454"/>
    <x v="0"/>
    <n v="1"/>
    <x v="1020"/>
    <s v="807 Main St"/>
    <s v="Online"/>
    <n v="1"/>
    <s v="Facebook"/>
    <n v="677.48"/>
  </r>
  <r>
    <s v="ORD201027"/>
    <s v="C93467"/>
    <x v="5"/>
    <n v="4"/>
    <x v="1021"/>
    <s v="983 Main St"/>
    <s v="Cash"/>
    <n v="6"/>
    <s v="Google"/>
    <n v="2219.3200000000002"/>
  </r>
  <r>
    <s v="ORD201028"/>
    <s v="C60042"/>
    <x v="6"/>
    <n v="4"/>
    <x v="1022"/>
    <s v="610 Main St"/>
    <s v="Cash"/>
    <n v="6"/>
    <s v="Instagram"/>
    <n v="1761.24"/>
  </r>
  <r>
    <s v="ORD201029"/>
    <s v="C44733"/>
    <x v="6"/>
    <n v="1"/>
    <x v="1023"/>
    <s v="851 Main St"/>
    <s v="Credit Card"/>
    <n v="4"/>
    <s v="Email"/>
    <n v="87.06"/>
  </r>
  <r>
    <s v="ORD201030"/>
    <s v="C61773"/>
    <x v="1"/>
    <n v="4"/>
    <x v="1024"/>
    <s v="176 Main St"/>
    <s v="Credit Card"/>
    <n v="6"/>
    <s v="Email"/>
    <n v="981.12"/>
  </r>
  <r>
    <s v="ORD201031"/>
    <s v="C59183"/>
    <x v="1"/>
    <n v="5"/>
    <x v="1025"/>
    <s v="136 Main St"/>
    <s v="Debit Card"/>
    <n v="8"/>
    <s v="Email"/>
    <n v="3322.55"/>
  </r>
  <r>
    <s v="ORD201032"/>
    <s v="C26188"/>
    <x v="3"/>
    <n v="1"/>
    <x v="1026"/>
    <s v="990 Main St"/>
    <s v="Online"/>
    <n v="6"/>
    <s v="Referral"/>
    <n v="618.67999999999995"/>
  </r>
  <r>
    <s v="ORD201033"/>
    <s v="C20338"/>
    <x v="0"/>
    <n v="1"/>
    <x v="1027"/>
    <s v="331 Main St"/>
    <s v="Gift Card"/>
    <n v="2"/>
    <s v="Referral"/>
    <n v="370.85"/>
  </r>
  <r>
    <s v="ORD201034"/>
    <s v="C84524"/>
    <x v="4"/>
    <n v="4"/>
    <x v="1028"/>
    <s v="766 Main St"/>
    <s v="Cash"/>
    <n v="8"/>
    <s v="Facebook"/>
    <n v="2071.92"/>
  </r>
  <r>
    <s v="ORD201035"/>
    <s v="C70315"/>
    <x v="5"/>
    <n v="4"/>
    <x v="1029"/>
    <s v="911 Main St"/>
    <s v="Cash"/>
    <n v="5"/>
    <s v="Referral"/>
    <n v="2024.44"/>
  </r>
  <r>
    <s v="ORD201036"/>
    <s v="C98278"/>
    <x v="1"/>
    <n v="3"/>
    <x v="1030"/>
    <s v="552 Main St"/>
    <s v="Gift Card"/>
    <n v="8"/>
    <s v="Facebook"/>
    <n v="1241.49"/>
  </r>
  <r>
    <s v="ORD201037"/>
    <s v="C32347"/>
    <x v="4"/>
    <n v="1"/>
    <x v="1031"/>
    <s v="408 Main St"/>
    <s v="Cash"/>
    <n v="1"/>
    <s v="Google"/>
    <n v="249.81"/>
  </r>
  <r>
    <s v="ORD201038"/>
    <s v="C77961"/>
    <x v="2"/>
    <n v="3"/>
    <x v="1032"/>
    <s v="422 Main St"/>
    <s v="Debit Card"/>
    <n v="5"/>
    <s v="Facebook"/>
    <n v="1087.5899999999999"/>
  </r>
  <r>
    <s v="ORD201039"/>
    <s v="C49137"/>
    <x v="6"/>
    <n v="2"/>
    <x v="1033"/>
    <s v="177 Main St"/>
    <s v="Credit Card"/>
    <n v="2"/>
    <s v="Instagram"/>
    <n v="598.46"/>
  </r>
  <r>
    <s v="ORD201040"/>
    <s v="C13169"/>
    <x v="2"/>
    <n v="1"/>
    <x v="1034"/>
    <s v="932 Main St"/>
    <s v="Debit Card"/>
    <n v="5"/>
    <s v="Google"/>
    <n v="536.07000000000005"/>
  </r>
  <r>
    <s v="ORD201041"/>
    <s v="C21167"/>
    <x v="0"/>
    <n v="4"/>
    <x v="1035"/>
    <s v="948 Main St"/>
    <s v="Gift Card"/>
    <n v="9"/>
    <s v="Google"/>
    <n v="2235.6"/>
  </r>
  <r>
    <s v="ORD201042"/>
    <s v="C59724"/>
    <x v="2"/>
    <n v="2"/>
    <x v="1036"/>
    <s v="414 Main St"/>
    <s v="Debit Card"/>
    <n v="2"/>
    <s v="Facebook"/>
    <n v="819.5"/>
  </r>
  <r>
    <s v="ORD201043"/>
    <s v="C43965"/>
    <x v="2"/>
    <n v="2"/>
    <x v="1037"/>
    <s v="675 Main St"/>
    <s v="Gift Card"/>
    <n v="5"/>
    <s v="Instagram"/>
    <n v="359.92"/>
  </r>
  <r>
    <s v="ORD201044"/>
    <s v="C63018"/>
    <x v="4"/>
    <n v="1"/>
    <x v="1038"/>
    <s v="215 Main St"/>
    <s v="Credit Card"/>
    <n v="4"/>
    <s v="Referral"/>
    <n v="38.49"/>
  </r>
  <r>
    <s v="ORD201045"/>
    <s v="C11893"/>
    <x v="5"/>
    <n v="5"/>
    <x v="1039"/>
    <s v="671 Main St"/>
    <s v="Gift Card"/>
    <n v="7"/>
    <s v="Email"/>
    <n v="1582"/>
  </r>
  <r>
    <s v="ORD201046"/>
    <s v="C85421"/>
    <x v="2"/>
    <n v="3"/>
    <x v="1040"/>
    <s v="466 Main St"/>
    <s v="Online"/>
    <n v="4"/>
    <s v="Instagram"/>
    <n v="1641.45"/>
  </r>
  <r>
    <s v="ORD201047"/>
    <s v="C81726"/>
    <x v="3"/>
    <n v="4"/>
    <x v="1041"/>
    <s v="394 Main St"/>
    <s v="Gift Card"/>
    <n v="6"/>
    <s v="Referral"/>
    <n v="2161.36"/>
  </r>
  <r>
    <s v="ORD201048"/>
    <s v="C57601"/>
    <x v="0"/>
    <n v="4"/>
    <x v="1042"/>
    <s v="889 Main St"/>
    <s v="Debit Card"/>
    <n v="9"/>
    <s v="Google"/>
    <n v="294.60000000000002"/>
  </r>
  <r>
    <s v="ORD201049"/>
    <s v="C60575"/>
    <x v="6"/>
    <n v="5"/>
    <x v="1043"/>
    <s v="587 Main St"/>
    <s v="Credit Card"/>
    <n v="6"/>
    <s v="Instagram"/>
    <n v="1959.3"/>
  </r>
  <r>
    <s v="ORD201050"/>
    <s v="C70659"/>
    <x v="5"/>
    <n v="5"/>
    <x v="1044"/>
    <s v="722 Main St"/>
    <s v="Online"/>
    <n v="9"/>
    <s v="Instagram"/>
    <n v="348.5"/>
  </r>
  <r>
    <s v="ORD201051"/>
    <s v="C35043"/>
    <x v="0"/>
    <n v="5"/>
    <x v="1045"/>
    <s v="820 Main St"/>
    <s v="Gift Card"/>
    <n v="5"/>
    <s v="Facebook"/>
    <n v="132.15"/>
  </r>
  <r>
    <s v="ORD201052"/>
    <s v="C12301"/>
    <x v="2"/>
    <n v="1"/>
    <x v="1046"/>
    <s v="493 Main St"/>
    <s v="Online"/>
    <n v="1"/>
    <s v="Google"/>
    <n v="531.74"/>
  </r>
  <r>
    <s v="ORD201053"/>
    <s v="C32798"/>
    <x v="1"/>
    <n v="2"/>
    <x v="1047"/>
    <s v="679 Main St"/>
    <s v="Online"/>
    <n v="2"/>
    <s v="Instagram"/>
    <n v="993.24"/>
  </r>
  <r>
    <s v="ORD201054"/>
    <s v="C42949"/>
    <x v="4"/>
    <n v="1"/>
    <x v="1048"/>
    <s v="447 Main St"/>
    <s v="Debit Card"/>
    <n v="3"/>
    <s v="Instagram"/>
    <n v="660.66"/>
  </r>
  <r>
    <s v="ORD201055"/>
    <s v="C10787"/>
    <x v="0"/>
    <n v="4"/>
    <x v="1049"/>
    <s v="932 Main St"/>
    <s v="Debit Card"/>
    <n v="9"/>
    <s v="Email"/>
    <n v="1099.28"/>
  </r>
  <r>
    <s v="ORD201056"/>
    <s v="C26152"/>
    <x v="1"/>
    <n v="2"/>
    <x v="1050"/>
    <s v="790 Main St"/>
    <s v="Online"/>
    <n v="6"/>
    <s v="Referral"/>
    <n v="972.7"/>
  </r>
  <r>
    <s v="ORD201057"/>
    <s v="C46210"/>
    <x v="5"/>
    <n v="3"/>
    <x v="1051"/>
    <s v="535 Main St"/>
    <s v="Debit Card"/>
    <n v="3"/>
    <s v="Facebook"/>
    <n v="1286.6400000000001"/>
  </r>
  <r>
    <s v="ORD201058"/>
    <s v="C32943"/>
    <x v="6"/>
    <n v="2"/>
    <x v="1052"/>
    <s v="127 Main St"/>
    <s v="Credit Card"/>
    <n v="2"/>
    <s v="Instagram"/>
    <n v="824.28"/>
  </r>
  <r>
    <s v="ORD201059"/>
    <s v="C73629"/>
    <x v="6"/>
    <n v="1"/>
    <x v="1053"/>
    <s v="601 Main St"/>
    <s v="Credit Card"/>
    <n v="3"/>
    <s v="Instagram"/>
    <n v="265.64"/>
  </r>
  <r>
    <s v="ORD201060"/>
    <s v="C38024"/>
    <x v="2"/>
    <n v="2"/>
    <x v="1054"/>
    <s v="824 Main St"/>
    <s v="Cash"/>
    <n v="7"/>
    <s v="Referral"/>
    <n v="546.86"/>
  </r>
  <r>
    <s v="ORD201061"/>
    <s v="C25445"/>
    <x v="5"/>
    <n v="5"/>
    <x v="1055"/>
    <s v="830 Main St"/>
    <s v="Cash"/>
    <n v="8"/>
    <s v="Google"/>
    <n v="658.5"/>
  </r>
  <r>
    <s v="ORD201062"/>
    <s v="C13501"/>
    <x v="3"/>
    <n v="5"/>
    <x v="1056"/>
    <s v="301 Main St"/>
    <s v="Gift Card"/>
    <n v="5"/>
    <s v="Facebook"/>
    <n v="427.6"/>
  </r>
  <r>
    <s v="ORD201063"/>
    <s v="C42108"/>
    <x v="6"/>
    <n v="2"/>
    <x v="1057"/>
    <s v="336 Main St"/>
    <s v="Credit Card"/>
    <n v="5"/>
    <s v="Referral"/>
    <n v="641.36"/>
  </r>
  <r>
    <s v="ORD201064"/>
    <s v="C32121"/>
    <x v="5"/>
    <n v="4"/>
    <x v="1058"/>
    <s v="654 Main St"/>
    <s v="Cash"/>
    <n v="9"/>
    <s v="Referral"/>
    <n v="795.24"/>
  </r>
  <r>
    <s v="ORD201065"/>
    <s v="C47778"/>
    <x v="4"/>
    <n v="5"/>
    <x v="1059"/>
    <s v="488 Main St"/>
    <s v="Debit Card"/>
    <n v="7"/>
    <s v="Referral"/>
    <n v="3334"/>
  </r>
  <r>
    <s v="ORD201066"/>
    <s v="C10791"/>
    <x v="6"/>
    <n v="1"/>
    <x v="1060"/>
    <s v="674 Main St"/>
    <s v="Debit Card"/>
    <n v="5"/>
    <s v="Instagram"/>
    <n v="355.09"/>
  </r>
  <r>
    <s v="ORD201067"/>
    <s v="C78959"/>
    <x v="1"/>
    <n v="2"/>
    <x v="1061"/>
    <s v="384 Main St"/>
    <s v="Online"/>
    <n v="2"/>
    <s v="Instagram"/>
    <n v="632.4"/>
  </r>
  <r>
    <s v="ORD201068"/>
    <s v="C29914"/>
    <x v="5"/>
    <n v="1"/>
    <x v="871"/>
    <s v="469 Main St"/>
    <s v="Debit Card"/>
    <n v="2"/>
    <s v="Referral"/>
    <n v="133.38999999999999"/>
  </r>
  <r>
    <s v="ORD201069"/>
    <s v="C70506"/>
    <x v="0"/>
    <n v="1"/>
    <x v="1062"/>
    <s v="255 Main St"/>
    <s v="Gift Card"/>
    <n v="3"/>
    <s v="Facebook"/>
    <n v="454.23"/>
  </r>
  <r>
    <s v="ORD201070"/>
    <s v="C46873"/>
    <x v="6"/>
    <n v="4"/>
    <x v="1063"/>
    <s v="496 Main St"/>
    <s v="Debit Card"/>
    <n v="6"/>
    <s v="Email"/>
    <n v="1965.16"/>
  </r>
  <r>
    <s v="ORD201071"/>
    <s v="C94037"/>
    <x v="1"/>
    <n v="2"/>
    <x v="1064"/>
    <s v="216 Main St"/>
    <s v="Cash"/>
    <n v="2"/>
    <s v="Google"/>
    <n v="510.28"/>
  </r>
  <r>
    <s v="ORD201072"/>
    <s v="C88644"/>
    <x v="0"/>
    <n v="1"/>
    <x v="1065"/>
    <s v="977 Main St"/>
    <s v="Gift Card"/>
    <n v="4"/>
    <s v="Referral"/>
    <n v="392.61"/>
  </r>
  <r>
    <s v="ORD201073"/>
    <s v="C69471"/>
    <x v="2"/>
    <n v="4"/>
    <x v="1066"/>
    <s v="294 Main St"/>
    <s v="Debit Card"/>
    <n v="4"/>
    <s v="Facebook"/>
    <n v="1448.24"/>
  </r>
  <r>
    <s v="ORD201074"/>
    <s v="C21437"/>
    <x v="1"/>
    <n v="1"/>
    <x v="1067"/>
    <s v="120 Main St"/>
    <s v="Online"/>
    <n v="4"/>
    <s v="Google"/>
    <n v="222.73"/>
  </r>
  <r>
    <s v="ORD201075"/>
    <s v="C40949"/>
    <x v="0"/>
    <n v="2"/>
    <x v="1068"/>
    <s v="609 Main St"/>
    <s v="Debit Card"/>
    <n v="7"/>
    <s v="Instagram"/>
    <n v="1105.26"/>
  </r>
  <r>
    <s v="ORD201076"/>
    <s v="C99116"/>
    <x v="5"/>
    <n v="4"/>
    <x v="1069"/>
    <s v="176 Main St"/>
    <s v="Cash"/>
    <n v="6"/>
    <s v="Referral"/>
    <n v="2746.44"/>
  </r>
  <r>
    <s v="ORD201077"/>
    <s v="C57861"/>
    <x v="4"/>
    <n v="3"/>
    <x v="1070"/>
    <s v="115 Main St"/>
    <s v="Credit Card"/>
    <n v="8"/>
    <s v="Referral"/>
    <n v="915.48"/>
  </r>
  <r>
    <s v="ORD201078"/>
    <s v="C62627"/>
    <x v="6"/>
    <n v="1"/>
    <x v="1071"/>
    <s v="881 Main St"/>
    <s v="Online"/>
    <n v="4"/>
    <s v="Email"/>
    <n v="41.09"/>
  </r>
  <r>
    <s v="ORD201079"/>
    <s v="C89979"/>
    <x v="1"/>
    <n v="5"/>
    <x v="1072"/>
    <s v="144 Main St"/>
    <s v="Gift Card"/>
    <n v="8"/>
    <s v="Email"/>
    <n v="3170"/>
  </r>
  <r>
    <s v="ORD201080"/>
    <s v="C70613"/>
    <x v="5"/>
    <n v="5"/>
    <x v="1073"/>
    <s v="438 Main St"/>
    <s v="Gift Card"/>
    <n v="7"/>
    <s v="Referral"/>
    <n v="2323.6999999999998"/>
  </r>
  <r>
    <s v="ORD201081"/>
    <s v="C55636"/>
    <x v="0"/>
    <n v="4"/>
    <x v="1074"/>
    <s v="494 Main St"/>
    <s v="Credit Card"/>
    <n v="5"/>
    <s v="Google"/>
    <n v="1702.4"/>
  </r>
  <r>
    <s v="ORD201082"/>
    <s v="C96595"/>
    <x v="3"/>
    <n v="3"/>
    <x v="1075"/>
    <s v="177 Main St"/>
    <s v="Debit Card"/>
    <n v="5"/>
    <s v="Email"/>
    <n v="1719.66"/>
  </r>
  <r>
    <s v="ORD201083"/>
    <s v="C68508"/>
    <x v="3"/>
    <n v="1"/>
    <x v="1076"/>
    <s v="895 Main St"/>
    <s v="Credit Card"/>
    <n v="3"/>
    <s v="Email"/>
    <n v="123.28"/>
  </r>
  <r>
    <s v="ORD201084"/>
    <s v="C45175"/>
    <x v="1"/>
    <n v="1"/>
    <x v="1077"/>
    <s v="128 Main St"/>
    <s v="Gift Card"/>
    <n v="1"/>
    <s v="Instagram"/>
    <n v="70.819999999999993"/>
  </r>
  <r>
    <s v="ORD201085"/>
    <s v="C28049"/>
    <x v="4"/>
    <n v="2"/>
    <x v="1078"/>
    <s v="404 Main St"/>
    <s v="Debit Card"/>
    <n v="7"/>
    <s v="Instagram"/>
    <n v="1293.3800000000001"/>
  </r>
  <r>
    <s v="ORD201086"/>
    <s v="C46967"/>
    <x v="2"/>
    <n v="2"/>
    <x v="1079"/>
    <s v="401 Main St"/>
    <s v="Online"/>
    <n v="5"/>
    <s v="Instagram"/>
    <n v="1026.8399999999999"/>
  </r>
  <r>
    <s v="ORD201087"/>
    <s v="C84134"/>
    <x v="5"/>
    <n v="4"/>
    <x v="1080"/>
    <s v="530 Main St"/>
    <s v="Online"/>
    <n v="8"/>
    <s v="Instagram"/>
    <n v="2772.28"/>
  </r>
  <r>
    <s v="ORD201088"/>
    <s v="C49831"/>
    <x v="6"/>
    <n v="3"/>
    <x v="1081"/>
    <s v="213 Main St"/>
    <s v="Gift Card"/>
    <n v="6"/>
    <s v="Instagram"/>
    <n v="1474.29"/>
  </r>
  <r>
    <s v="ORD201089"/>
    <s v="C13324"/>
    <x v="2"/>
    <n v="2"/>
    <x v="1082"/>
    <s v="440 Main St"/>
    <s v="Gift Card"/>
    <n v="2"/>
    <s v="Instagram"/>
    <n v="1199.48"/>
  </r>
  <r>
    <s v="ORD201090"/>
    <s v="C61225"/>
    <x v="0"/>
    <n v="2"/>
    <x v="1083"/>
    <s v="996 Main St"/>
    <s v="Gift Card"/>
    <n v="6"/>
    <s v="Instagram"/>
    <n v="1300.5"/>
  </r>
  <r>
    <s v="ORD201091"/>
    <s v="C16400"/>
    <x v="5"/>
    <n v="3"/>
    <x v="1084"/>
    <s v="123 Main St"/>
    <s v="Debit Card"/>
    <n v="4"/>
    <s v="Email"/>
    <n v="628.43999999999994"/>
  </r>
  <r>
    <s v="ORD201092"/>
    <s v="C38642"/>
    <x v="5"/>
    <n v="5"/>
    <x v="1085"/>
    <s v="930 Main St"/>
    <s v="Debit Card"/>
    <n v="6"/>
    <s v="Email"/>
    <n v="1046"/>
  </r>
  <r>
    <s v="ORD201093"/>
    <s v="C86773"/>
    <x v="1"/>
    <n v="4"/>
    <x v="1086"/>
    <s v="557 Main St"/>
    <s v="Gift Card"/>
    <n v="9"/>
    <s v="Instagram"/>
    <n v="789.44"/>
  </r>
  <r>
    <s v="ORD201094"/>
    <s v="C66093"/>
    <x v="4"/>
    <n v="4"/>
    <x v="1087"/>
    <s v="615 Main St"/>
    <s v="Credit Card"/>
    <n v="6"/>
    <s v="Instagram"/>
    <n v="2595.64"/>
  </r>
  <r>
    <s v="ORD201095"/>
    <s v="C33051"/>
    <x v="1"/>
    <n v="2"/>
    <x v="1088"/>
    <s v="397 Main St"/>
    <s v="Online"/>
    <n v="2"/>
    <s v="Email"/>
    <n v="883.08"/>
  </r>
  <r>
    <s v="ORD201096"/>
    <s v="C18169"/>
    <x v="2"/>
    <n v="2"/>
    <x v="1089"/>
    <s v="782 Main St"/>
    <s v="Debit Card"/>
    <n v="2"/>
    <s v="Facebook"/>
    <n v="929.84"/>
  </r>
  <r>
    <s v="ORD201097"/>
    <s v="C81370"/>
    <x v="0"/>
    <n v="5"/>
    <x v="1090"/>
    <s v="344 Main St"/>
    <s v="Gift Card"/>
    <n v="7"/>
    <s v="Google"/>
    <n v="2532.25"/>
  </r>
  <r>
    <s v="ORD201098"/>
    <s v="C91103"/>
    <x v="0"/>
    <n v="4"/>
    <x v="1091"/>
    <s v="155 Main St"/>
    <s v="Credit Card"/>
    <n v="7"/>
    <s v="Email"/>
    <n v="1023.44"/>
  </r>
  <r>
    <s v="ORD201099"/>
    <s v="C21953"/>
    <x v="5"/>
    <n v="2"/>
    <x v="1092"/>
    <s v="272 Main St"/>
    <s v="Cash"/>
    <n v="3"/>
    <s v="Email"/>
    <n v="250.46"/>
  </r>
  <r>
    <s v="ORD201100"/>
    <s v="C15146"/>
    <x v="5"/>
    <n v="5"/>
    <x v="1093"/>
    <s v="428 Main St"/>
    <s v="Debit Card"/>
    <n v="6"/>
    <s v="Instagram"/>
    <n v="190.55"/>
  </r>
  <r>
    <s v="ORD201101"/>
    <s v="C43546"/>
    <x v="0"/>
    <n v="3"/>
    <x v="1094"/>
    <s v="904 Main St"/>
    <s v="Cash"/>
    <n v="4"/>
    <s v="Email"/>
    <n v="485.91"/>
  </r>
  <r>
    <s v="ORD201102"/>
    <s v="C98474"/>
    <x v="3"/>
    <n v="4"/>
    <x v="1095"/>
    <s v="997 Main St"/>
    <s v="Debit Card"/>
    <n v="8"/>
    <s v="Instagram"/>
    <n v="1388.68"/>
  </r>
  <r>
    <s v="ORD201103"/>
    <s v="C90292"/>
    <x v="5"/>
    <n v="4"/>
    <x v="1096"/>
    <s v="129 Main St"/>
    <s v="Online"/>
    <n v="5"/>
    <s v="Google"/>
    <n v="1105.28"/>
  </r>
  <r>
    <s v="ORD201104"/>
    <s v="C17075"/>
    <x v="2"/>
    <n v="4"/>
    <x v="1097"/>
    <s v="850 Main St"/>
    <s v="Online"/>
    <n v="8"/>
    <s v="Instagram"/>
    <n v="1259.04"/>
  </r>
  <r>
    <s v="ORD201105"/>
    <s v="C12487"/>
    <x v="2"/>
    <n v="3"/>
    <x v="1098"/>
    <s v="884 Main St"/>
    <s v="Gift Card"/>
    <n v="3"/>
    <s v="Google"/>
    <n v="1427.07"/>
  </r>
  <r>
    <s v="ORD201106"/>
    <s v="C34555"/>
    <x v="3"/>
    <n v="1"/>
    <x v="1099"/>
    <s v="903 Main St"/>
    <s v="Cash"/>
    <n v="6"/>
    <s v="Facebook"/>
    <n v="372.8"/>
  </r>
  <r>
    <s v="ORD201107"/>
    <s v="C25110"/>
    <x v="2"/>
    <n v="2"/>
    <x v="1100"/>
    <s v="282 Main St"/>
    <s v="Online"/>
    <n v="4"/>
    <s v="Google"/>
    <n v="126.42"/>
  </r>
  <r>
    <s v="ORD201108"/>
    <s v="C35136"/>
    <x v="5"/>
    <n v="1"/>
    <x v="1101"/>
    <s v="462 Main St"/>
    <s v="Online"/>
    <n v="5"/>
    <s v="Instagram"/>
    <n v="634.94000000000005"/>
  </r>
  <r>
    <s v="ORD201109"/>
    <s v="C62277"/>
    <x v="4"/>
    <n v="4"/>
    <x v="1102"/>
    <s v="474 Main St"/>
    <s v="Gift Card"/>
    <n v="7"/>
    <s v="Instagram"/>
    <n v="309.88"/>
  </r>
  <r>
    <s v="ORD201110"/>
    <s v="C12472"/>
    <x v="3"/>
    <n v="3"/>
    <x v="1103"/>
    <s v="912 Main St"/>
    <s v="Credit Card"/>
    <n v="3"/>
    <s v="Email"/>
    <n v="252.93"/>
  </r>
  <r>
    <s v="ORD201111"/>
    <s v="C24047"/>
    <x v="0"/>
    <n v="4"/>
    <x v="1104"/>
    <s v="362 Main St"/>
    <s v="Online"/>
    <n v="9"/>
    <s v="Instagram"/>
    <n v="937.8"/>
  </r>
  <r>
    <s v="ORD201112"/>
    <s v="C76929"/>
    <x v="6"/>
    <n v="1"/>
    <x v="1105"/>
    <s v="563 Main St"/>
    <s v="Online"/>
    <n v="1"/>
    <s v="Instagram"/>
    <n v="356.81"/>
  </r>
  <r>
    <s v="ORD201113"/>
    <s v="C52914"/>
    <x v="6"/>
    <n v="4"/>
    <x v="1106"/>
    <s v="168 Main St"/>
    <s v="Cash"/>
    <n v="8"/>
    <s v="Google"/>
    <n v="839.96"/>
  </r>
  <r>
    <s v="ORD201114"/>
    <s v="C55164"/>
    <x v="2"/>
    <n v="3"/>
    <x v="1107"/>
    <s v="609 Main St"/>
    <s v="Gift Card"/>
    <n v="3"/>
    <s v="Google"/>
    <n v="1979.64"/>
  </r>
  <r>
    <s v="ORD201115"/>
    <s v="C70426"/>
    <x v="5"/>
    <n v="2"/>
    <x v="1108"/>
    <s v="562 Main St"/>
    <s v="Online"/>
    <n v="3"/>
    <s v="Google"/>
    <n v="672.64"/>
  </r>
  <r>
    <s v="ORD201116"/>
    <s v="C69149"/>
    <x v="4"/>
    <n v="2"/>
    <x v="1109"/>
    <s v="562 Main St"/>
    <s v="Credit Card"/>
    <n v="7"/>
    <s v="Facebook"/>
    <n v="1062.98"/>
  </r>
  <r>
    <s v="ORD201117"/>
    <s v="C78684"/>
    <x v="3"/>
    <n v="3"/>
    <x v="1110"/>
    <s v="858 Main St"/>
    <s v="Gift Card"/>
    <n v="8"/>
    <s v="Google"/>
    <n v="1765.32"/>
  </r>
  <r>
    <s v="ORD201118"/>
    <s v="C58168"/>
    <x v="1"/>
    <n v="3"/>
    <x v="1111"/>
    <s v="359 Main St"/>
    <s v="Credit Card"/>
    <n v="4"/>
    <s v="Email"/>
    <n v="754.43999999999994"/>
  </r>
  <r>
    <s v="ORD201119"/>
    <s v="C99024"/>
    <x v="5"/>
    <n v="1"/>
    <x v="1112"/>
    <s v="250 Main St"/>
    <s v="Credit Card"/>
    <n v="1"/>
    <s v="Email"/>
    <n v="684.65"/>
  </r>
  <r>
    <s v="ORD201120"/>
    <s v="C22919"/>
    <x v="2"/>
    <n v="1"/>
    <x v="1113"/>
    <s v="267 Main St"/>
    <s v="Online"/>
    <n v="3"/>
    <s v="Facebook"/>
    <n v="195.86"/>
  </r>
  <r>
    <s v="ORD201121"/>
    <s v="C98354"/>
    <x v="1"/>
    <n v="3"/>
    <x v="1114"/>
    <s v="393 Main St"/>
    <s v="Gift Card"/>
    <n v="3"/>
    <s v="Instagram"/>
    <n v="151.02000000000001"/>
  </r>
  <r>
    <s v="ORD201122"/>
    <s v="C38840"/>
    <x v="0"/>
    <n v="5"/>
    <x v="1115"/>
    <s v="766 Main St"/>
    <s v="Online"/>
    <n v="8"/>
    <s v="Facebook"/>
    <n v="3390.95"/>
  </r>
  <r>
    <s v="ORD201123"/>
    <s v="C68936"/>
    <x v="2"/>
    <n v="3"/>
    <x v="1116"/>
    <s v="843 Main St"/>
    <s v="Debit Card"/>
    <n v="6"/>
    <s v="Referral"/>
    <n v="1662.75"/>
  </r>
  <r>
    <s v="ORD201124"/>
    <s v="C33744"/>
    <x v="3"/>
    <n v="4"/>
    <x v="1117"/>
    <s v="888 Main St"/>
    <s v="Gift Card"/>
    <n v="5"/>
    <s v="Instagram"/>
    <n v="2307.48"/>
  </r>
  <r>
    <s v="ORD201125"/>
    <s v="C23555"/>
    <x v="6"/>
    <n v="4"/>
    <x v="1118"/>
    <s v="156 Main St"/>
    <s v="Gift Card"/>
    <n v="4"/>
    <s v="Referral"/>
    <n v="1633.44"/>
  </r>
  <r>
    <s v="ORD201126"/>
    <s v="C34337"/>
    <x v="1"/>
    <n v="5"/>
    <x v="1119"/>
    <s v="325 Main St"/>
    <s v="Cash"/>
    <n v="7"/>
    <s v="Google"/>
    <n v="950.55000000000007"/>
  </r>
  <r>
    <s v="ORD201127"/>
    <s v="C69396"/>
    <x v="4"/>
    <n v="3"/>
    <x v="1120"/>
    <s v="920 Main St"/>
    <s v="Credit Card"/>
    <n v="6"/>
    <s v="Email"/>
    <n v="1808.25"/>
  </r>
  <r>
    <s v="ORD201128"/>
    <s v="C49198"/>
    <x v="0"/>
    <n v="3"/>
    <x v="1121"/>
    <s v="447 Main St"/>
    <s v="Cash"/>
    <n v="5"/>
    <s v="Google"/>
    <n v="1940.37"/>
  </r>
  <r>
    <s v="ORD201129"/>
    <s v="C43911"/>
    <x v="3"/>
    <n v="4"/>
    <x v="1122"/>
    <s v="239 Main St"/>
    <s v="Cash"/>
    <n v="8"/>
    <s v="Instagram"/>
    <n v="1674.84"/>
  </r>
  <r>
    <s v="ORD201130"/>
    <s v="C24347"/>
    <x v="5"/>
    <n v="2"/>
    <x v="1123"/>
    <s v="533 Main St"/>
    <s v="Credit Card"/>
    <n v="5"/>
    <s v="Instagram"/>
    <n v="646.9"/>
  </r>
  <r>
    <s v="ORD201131"/>
    <s v="C21043"/>
    <x v="1"/>
    <n v="1"/>
    <x v="1124"/>
    <s v="195 Main St"/>
    <s v="Credit Card"/>
    <n v="3"/>
    <s v="Facebook"/>
    <n v="694.5"/>
  </r>
  <r>
    <s v="ORD201132"/>
    <s v="C58858"/>
    <x v="3"/>
    <n v="2"/>
    <x v="1125"/>
    <s v="948 Main St"/>
    <s v="Credit Card"/>
    <n v="4"/>
    <s v="Email"/>
    <n v="674.64"/>
  </r>
  <r>
    <s v="ORD201133"/>
    <s v="C20670"/>
    <x v="4"/>
    <n v="2"/>
    <x v="1126"/>
    <s v="432 Main St"/>
    <s v="Gift Card"/>
    <n v="5"/>
    <s v="Facebook"/>
    <n v="935.82"/>
  </r>
  <r>
    <s v="ORD201134"/>
    <s v="C90993"/>
    <x v="6"/>
    <n v="4"/>
    <x v="1127"/>
    <s v="950 Main St"/>
    <s v="Debit Card"/>
    <n v="4"/>
    <s v="Facebook"/>
    <n v="153.12"/>
  </r>
  <r>
    <s v="ORD201135"/>
    <s v="C11473"/>
    <x v="4"/>
    <n v="2"/>
    <x v="1128"/>
    <s v="562 Main St"/>
    <s v="Online"/>
    <n v="2"/>
    <s v="Google"/>
    <n v="146.82"/>
  </r>
  <r>
    <s v="ORD201136"/>
    <s v="C71899"/>
    <x v="2"/>
    <n v="3"/>
    <x v="1129"/>
    <s v="799 Main St"/>
    <s v="Gift Card"/>
    <n v="4"/>
    <s v="Facebook"/>
    <n v="2004.99"/>
  </r>
  <r>
    <s v="ORD201137"/>
    <s v="C48577"/>
    <x v="4"/>
    <n v="4"/>
    <x v="1130"/>
    <s v="841 Main St"/>
    <s v="Cash"/>
    <n v="5"/>
    <s v="Instagram"/>
    <n v="1640.84"/>
  </r>
  <r>
    <s v="ORD201138"/>
    <s v="C13100"/>
    <x v="6"/>
    <n v="4"/>
    <x v="1131"/>
    <s v="188 Main St"/>
    <s v="Debit Card"/>
    <n v="4"/>
    <s v="Instagram"/>
    <n v="1177.6400000000001"/>
  </r>
  <r>
    <s v="ORD201139"/>
    <s v="C70659"/>
    <x v="3"/>
    <n v="3"/>
    <x v="1132"/>
    <s v="568 Main St"/>
    <s v="Gift Card"/>
    <n v="4"/>
    <s v="Email"/>
    <n v="1505.46"/>
  </r>
  <r>
    <s v="ORD201140"/>
    <s v="C49838"/>
    <x v="4"/>
    <n v="2"/>
    <x v="1133"/>
    <s v="904 Main St"/>
    <s v="Credit Card"/>
    <n v="3"/>
    <s v="Referral"/>
    <n v="1105.6600000000001"/>
  </r>
  <r>
    <s v="ORD201141"/>
    <s v="C11998"/>
    <x v="3"/>
    <n v="3"/>
    <x v="1134"/>
    <s v="382 Main St"/>
    <s v="Cash"/>
    <n v="6"/>
    <s v="Email"/>
    <n v="1495.98"/>
  </r>
  <r>
    <s v="ORD201142"/>
    <s v="C23405"/>
    <x v="1"/>
    <n v="4"/>
    <x v="1135"/>
    <s v="484 Main St"/>
    <s v="Debit Card"/>
    <n v="8"/>
    <s v="Email"/>
    <n v="2780.4"/>
  </r>
  <r>
    <s v="ORD201143"/>
    <s v="C41132"/>
    <x v="3"/>
    <n v="1"/>
    <x v="1136"/>
    <s v="114 Main St"/>
    <s v="Debit Card"/>
    <n v="5"/>
    <s v="Email"/>
    <n v="381.61"/>
  </r>
  <r>
    <s v="ORD201144"/>
    <s v="C88463"/>
    <x v="6"/>
    <n v="5"/>
    <x v="1137"/>
    <s v="292 Main St"/>
    <s v="Online"/>
    <n v="9"/>
    <s v="Facebook"/>
    <n v="2539.6999999999998"/>
  </r>
  <r>
    <s v="ORD201145"/>
    <s v="C28152"/>
    <x v="6"/>
    <n v="3"/>
    <x v="1138"/>
    <s v="821 Main St"/>
    <s v="Debit Card"/>
    <n v="6"/>
    <s v="Facebook"/>
    <n v="1714.59"/>
  </r>
  <r>
    <s v="ORD201146"/>
    <s v="C36383"/>
    <x v="0"/>
    <n v="5"/>
    <x v="1139"/>
    <s v="286 Main St"/>
    <s v="Cash"/>
    <n v="5"/>
    <s v="Instagram"/>
    <n v="2107.1999999999998"/>
  </r>
  <r>
    <s v="ORD201147"/>
    <s v="C19759"/>
    <x v="3"/>
    <n v="2"/>
    <x v="1140"/>
    <s v="234 Main St"/>
    <s v="Online"/>
    <n v="2"/>
    <s v="Email"/>
    <n v="1176.5999999999999"/>
  </r>
  <r>
    <s v="ORD201148"/>
    <s v="C54886"/>
    <x v="1"/>
    <n v="1"/>
    <x v="1141"/>
    <s v="442 Main St"/>
    <s v="Cash"/>
    <n v="2"/>
    <s v="Email"/>
    <n v="355.15"/>
  </r>
  <r>
    <s v="ORD201149"/>
    <s v="C27305"/>
    <x v="3"/>
    <n v="2"/>
    <x v="1142"/>
    <s v="957 Main St"/>
    <s v="Credit Card"/>
    <n v="6"/>
    <s v="Instagram"/>
    <n v="1390.58"/>
  </r>
  <r>
    <s v="ORD201150"/>
    <s v="C17921"/>
    <x v="6"/>
    <n v="4"/>
    <x v="1143"/>
    <s v="119 Main St"/>
    <s v="Credit Card"/>
    <n v="8"/>
    <s v="Referral"/>
    <n v="1210.5999999999999"/>
  </r>
  <r>
    <s v="ORD201151"/>
    <s v="C94381"/>
    <x v="3"/>
    <n v="2"/>
    <x v="1144"/>
    <s v="962 Main St"/>
    <s v="Cash"/>
    <n v="4"/>
    <s v="Google"/>
    <n v="1216.08"/>
  </r>
  <r>
    <s v="ORD201152"/>
    <s v="C25162"/>
    <x v="2"/>
    <n v="2"/>
    <x v="1145"/>
    <s v="533 Main St"/>
    <s v="Credit Card"/>
    <n v="7"/>
    <s v="Referral"/>
    <n v="688.36"/>
  </r>
  <r>
    <s v="ORD201153"/>
    <s v="C98317"/>
    <x v="0"/>
    <n v="4"/>
    <x v="1146"/>
    <s v="276 Main St"/>
    <s v="Debit Card"/>
    <n v="4"/>
    <s v="Instagram"/>
    <n v="2786.84"/>
  </r>
  <r>
    <s v="ORD201154"/>
    <s v="C53631"/>
    <x v="0"/>
    <n v="3"/>
    <x v="1147"/>
    <s v="593 Main St"/>
    <s v="Cash"/>
    <n v="8"/>
    <s v="Instagram"/>
    <n v="595.89"/>
  </r>
  <r>
    <s v="ORD201155"/>
    <s v="C41478"/>
    <x v="4"/>
    <n v="4"/>
    <x v="1148"/>
    <s v="667 Main St"/>
    <s v="Credit Card"/>
    <n v="6"/>
    <s v="Facebook"/>
    <n v="2138.2800000000002"/>
  </r>
  <r>
    <s v="ORD201156"/>
    <s v="C20512"/>
    <x v="5"/>
    <n v="4"/>
    <x v="1149"/>
    <s v="980 Main St"/>
    <s v="Credit Card"/>
    <n v="9"/>
    <s v="Referral"/>
    <n v="2763.12"/>
  </r>
  <r>
    <s v="ORD201157"/>
    <s v="C25841"/>
    <x v="0"/>
    <n v="3"/>
    <x v="1150"/>
    <s v="242 Main St"/>
    <s v="Debit Card"/>
    <n v="5"/>
    <s v="Google"/>
    <n v="904.65000000000009"/>
  </r>
  <r>
    <s v="ORD201158"/>
    <s v="C82781"/>
    <x v="0"/>
    <n v="4"/>
    <x v="1151"/>
    <s v="661 Main St"/>
    <s v="Debit Card"/>
    <n v="4"/>
    <s v="Referral"/>
    <n v="109.68"/>
  </r>
  <r>
    <s v="ORD201159"/>
    <s v="C66112"/>
    <x v="6"/>
    <n v="4"/>
    <x v="1152"/>
    <s v="874 Main St"/>
    <s v="Debit Card"/>
    <n v="8"/>
    <s v="Instagram"/>
    <n v="1866.8"/>
  </r>
  <r>
    <s v="ORD201160"/>
    <s v="C40466"/>
    <x v="6"/>
    <n v="1"/>
    <x v="1153"/>
    <s v="449 Main St"/>
    <s v="Debit Card"/>
    <n v="5"/>
    <s v="Email"/>
    <n v="541.64"/>
  </r>
  <r>
    <s v="ORD201161"/>
    <s v="C32570"/>
    <x v="1"/>
    <n v="1"/>
    <x v="1154"/>
    <s v="826 Main St"/>
    <s v="Cash"/>
    <n v="6"/>
    <s v="Email"/>
    <n v="11.39"/>
  </r>
  <r>
    <s v="ORD201162"/>
    <s v="C29405"/>
    <x v="1"/>
    <n v="2"/>
    <x v="1155"/>
    <s v="251 Main St"/>
    <s v="Debit Card"/>
    <n v="3"/>
    <s v="Referral"/>
    <n v="448.74"/>
  </r>
  <r>
    <s v="ORD201163"/>
    <s v="C30643"/>
    <x v="5"/>
    <n v="3"/>
    <x v="1156"/>
    <s v="966 Main St"/>
    <s v="Credit Card"/>
    <n v="7"/>
    <s v="Instagram"/>
    <n v="918.87000000000012"/>
  </r>
  <r>
    <s v="ORD201164"/>
    <s v="C65890"/>
    <x v="2"/>
    <n v="5"/>
    <x v="1157"/>
    <s v="340 Main St"/>
    <s v="Debit Card"/>
    <n v="6"/>
    <s v="Email"/>
    <n v="1577.85"/>
  </r>
  <r>
    <s v="ORD201165"/>
    <s v="C36992"/>
    <x v="3"/>
    <n v="3"/>
    <x v="1158"/>
    <s v="617 Main St"/>
    <s v="Debit Card"/>
    <n v="3"/>
    <s v="Google"/>
    <n v="671.37"/>
  </r>
  <r>
    <s v="ORD201166"/>
    <s v="C95568"/>
    <x v="3"/>
    <n v="3"/>
    <x v="1159"/>
    <s v="971 Main St"/>
    <s v="Cash"/>
    <n v="4"/>
    <s v="Email"/>
    <n v="973.41000000000008"/>
  </r>
  <r>
    <s v="ORD201167"/>
    <s v="C17966"/>
    <x v="4"/>
    <n v="2"/>
    <x v="1160"/>
    <s v="360 Main St"/>
    <s v="Credit Card"/>
    <n v="5"/>
    <s v="Facebook"/>
    <n v="185.74"/>
  </r>
  <r>
    <s v="ORD201168"/>
    <s v="C89559"/>
    <x v="5"/>
    <n v="2"/>
    <x v="1161"/>
    <s v="297 Main St"/>
    <s v="Credit Card"/>
    <n v="6"/>
    <s v="Google"/>
    <n v="662.84"/>
  </r>
  <r>
    <s v="ORD201169"/>
    <s v="C15849"/>
    <x v="3"/>
    <n v="1"/>
    <x v="1162"/>
    <s v="643 Main St"/>
    <s v="Cash"/>
    <n v="2"/>
    <s v="Instagram"/>
    <n v="525.42999999999995"/>
  </r>
  <r>
    <s v="ORD201170"/>
    <s v="C94257"/>
    <x v="4"/>
    <n v="2"/>
    <x v="1163"/>
    <s v="762 Main St"/>
    <s v="Cash"/>
    <n v="7"/>
    <s v="Email"/>
    <n v="1394.38"/>
  </r>
  <r>
    <s v="ORD201171"/>
    <s v="C39911"/>
    <x v="1"/>
    <n v="4"/>
    <x v="1164"/>
    <s v="699 Main St"/>
    <s v="Credit Card"/>
    <n v="7"/>
    <s v="Facebook"/>
    <n v="2073.6"/>
  </r>
  <r>
    <s v="ORD201172"/>
    <s v="C28828"/>
    <x v="6"/>
    <n v="3"/>
    <x v="1165"/>
    <s v="745 Main St"/>
    <s v="Credit Card"/>
    <n v="8"/>
    <s v="Instagram"/>
    <n v="395.88"/>
  </r>
  <r>
    <s v="ORD201173"/>
    <s v="C82921"/>
    <x v="0"/>
    <n v="1"/>
    <x v="1166"/>
    <s v="703 Main St"/>
    <s v="Online"/>
    <n v="4"/>
    <s v="Email"/>
    <n v="208.36"/>
  </r>
  <r>
    <s v="ORD201174"/>
    <s v="C50159"/>
    <x v="4"/>
    <n v="3"/>
    <x v="1167"/>
    <s v="105 Main St"/>
    <s v="Credit Card"/>
    <n v="5"/>
    <s v="Email"/>
    <n v="667.02"/>
  </r>
  <r>
    <s v="ORD201175"/>
    <s v="C62512"/>
    <x v="4"/>
    <n v="3"/>
    <x v="1168"/>
    <s v="368 Main St"/>
    <s v="Debit Card"/>
    <n v="8"/>
    <s v="Referral"/>
    <n v="275.22000000000003"/>
  </r>
  <r>
    <s v="ORD201176"/>
    <s v="C39260"/>
    <x v="2"/>
    <n v="2"/>
    <x v="1169"/>
    <s v="374 Main St"/>
    <s v="Debit Card"/>
    <n v="2"/>
    <s v="Email"/>
    <n v="427.66"/>
  </r>
  <r>
    <s v="ORD201177"/>
    <s v="C23917"/>
    <x v="4"/>
    <n v="1"/>
    <x v="1170"/>
    <s v="433 Main St"/>
    <s v="Cash"/>
    <n v="3"/>
    <s v="Referral"/>
    <n v="127.55"/>
  </r>
  <r>
    <s v="ORD201178"/>
    <s v="C65107"/>
    <x v="0"/>
    <n v="1"/>
    <x v="1171"/>
    <s v="456 Main St"/>
    <s v="Credit Card"/>
    <n v="4"/>
    <s v="Google"/>
    <n v="70.239999999999995"/>
  </r>
  <r>
    <s v="ORD201179"/>
    <s v="C84630"/>
    <x v="5"/>
    <n v="5"/>
    <x v="1172"/>
    <s v="907 Main St"/>
    <s v="Credit Card"/>
    <n v="6"/>
    <s v="Instagram"/>
    <n v="2592.75"/>
  </r>
  <r>
    <s v="ORD201180"/>
    <s v="C42235"/>
    <x v="3"/>
    <n v="4"/>
    <x v="1173"/>
    <s v="722 Main St"/>
    <s v="Debit Card"/>
    <n v="8"/>
    <s v="Google"/>
    <n v="1193.44"/>
  </r>
  <r>
    <s v="ORD201181"/>
    <s v="C70246"/>
    <x v="6"/>
    <n v="3"/>
    <x v="1174"/>
    <s v="293 Main St"/>
    <s v="Online"/>
    <n v="7"/>
    <s v="Instagram"/>
    <n v="476.22"/>
  </r>
  <r>
    <s v="ORD201182"/>
    <s v="C18473"/>
    <x v="3"/>
    <n v="2"/>
    <x v="1175"/>
    <s v="700 Main St"/>
    <s v="Gift Card"/>
    <n v="3"/>
    <s v="Google"/>
    <n v="840.58"/>
  </r>
  <r>
    <s v="ORD201183"/>
    <s v="C12607"/>
    <x v="6"/>
    <n v="1"/>
    <x v="1176"/>
    <s v="460 Main St"/>
    <s v="Gift Card"/>
    <n v="6"/>
    <s v="Referral"/>
    <n v="281.52"/>
  </r>
  <r>
    <s v="ORD201184"/>
    <s v="C10222"/>
    <x v="5"/>
    <n v="1"/>
    <x v="1177"/>
    <s v="979 Main St"/>
    <s v="Gift Card"/>
    <n v="4"/>
    <s v="Google"/>
    <n v="204.08"/>
  </r>
  <r>
    <s v="ORD201185"/>
    <s v="C77344"/>
    <x v="3"/>
    <n v="1"/>
    <x v="1178"/>
    <s v="777 Main St"/>
    <s v="Gift Card"/>
    <n v="6"/>
    <s v="Google"/>
    <n v="343.31"/>
  </r>
  <r>
    <s v="ORD201186"/>
    <s v="C65497"/>
    <x v="0"/>
    <n v="1"/>
    <x v="1179"/>
    <s v="676 Main St"/>
    <s v="Cash"/>
    <n v="6"/>
    <s v="Facebook"/>
    <n v="163.32"/>
  </r>
  <r>
    <s v="ORD201187"/>
    <s v="C26340"/>
    <x v="6"/>
    <n v="2"/>
    <x v="1180"/>
    <s v="562 Main St"/>
    <s v="Gift Card"/>
    <n v="7"/>
    <s v="Email"/>
    <n v="369.2"/>
  </r>
  <r>
    <s v="ORD201188"/>
    <s v="C75619"/>
    <x v="4"/>
    <n v="2"/>
    <x v="1181"/>
    <s v="924 Main St"/>
    <s v="Gift Card"/>
    <n v="5"/>
    <s v="Facebook"/>
    <n v="742.58"/>
  </r>
  <r>
    <s v="ORD201189"/>
    <s v="C96136"/>
    <x v="2"/>
    <n v="5"/>
    <x v="1182"/>
    <s v="149 Main St"/>
    <s v="Cash"/>
    <n v="7"/>
    <s v="Referral"/>
    <n v="1946.1"/>
  </r>
  <r>
    <s v="ORD201190"/>
    <s v="C46886"/>
    <x v="6"/>
    <n v="3"/>
    <x v="1183"/>
    <s v="754 Main St"/>
    <s v="Credit Card"/>
    <n v="6"/>
    <s v="Instagram"/>
    <n v="1849.17"/>
  </r>
  <r>
    <s v="ORD201191"/>
    <s v="C44148"/>
    <x v="6"/>
    <n v="4"/>
    <x v="1184"/>
    <s v="809 Main St"/>
    <s v="Gift Card"/>
    <n v="5"/>
    <s v="Instagram"/>
    <n v="1505.72"/>
  </r>
  <r>
    <s v="ORD201192"/>
    <s v="C72007"/>
    <x v="3"/>
    <n v="3"/>
    <x v="1185"/>
    <s v="999 Main St"/>
    <s v="Online"/>
    <n v="4"/>
    <s v="Instagram"/>
    <n v="1298.55"/>
  </r>
  <r>
    <s v="ORD201193"/>
    <s v="C45104"/>
    <x v="2"/>
    <n v="1"/>
    <x v="1186"/>
    <s v="348 Main St"/>
    <s v="Cash"/>
    <n v="1"/>
    <s v="Email"/>
    <n v="687.89"/>
  </r>
  <r>
    <s v="ORD201194"/>
    <s v="C29885"/>
    <x v="4"/>
    <n v="3"/>
    <x v="1187"/>
    <s v="725 Main St"/>
    <s v="Cash"/>
    <n v="4"/>
    <s v="Email"/>
    <n v="568.31999999999994"/>
  </r>
  <r>
    <s v="ORD201195"/>
    <s v="C21126"/>
    <x v="6"/>
    <n v="1"/>
    <x v="1188"/>
    <s v="392 Main St"/>
    <s v="Credit Card"/>
    <n v="6"/>
    <s v="Google"/>
    <n v="107.04"/>
  </r>
  <r>
    <s v="ORD201196"/>
    <s v="C20095"/>
    <x v="0"/>
    <n v="2"/>
    <x v="1189"/>
    <s v="778 Main St"/>
    <s v="Online"/>
    <n v="5"/>
    <s v="Facebook"/>
    <n v="1325.06"/>
  </r>
  <r>
    <s v="ORD201197"/>
    <s v="C79674"/>
    <x v="2"/>
    <n v="2"/>
    <x v="1190"/>
    <s v="275 Main St"/>
    <s v="Online"/>
    <n v="2"/>
    <s v="Instagram"/>
    <n v="873.68"/>
  </r>
  <r>
    <s v="ORD201198"/>
    <s v="C64753"/>
    <x v="3"/>
    <n v="4"/>
    <x v="1191"/>
    <s v="509 Main St"/>
    <s v="Debit Card"/>
    <n v="4"/>
    <s v="Instagram"/>
    <n v="1050.08"/>
  </r>
  <r>
    <s v="ORD201199"/>
    <s v="C57502"/>
    <x v="2"/>
    <n v="4"/>
    <x v="1192"/>
    <s v="201 Main St"/>
    <s v="Gift Card"/>
    <n v="6"/>
    <s v="Referral"/>
    <n v="2242.3200000000002"/>
  </r>
  <r>
    <m/>
    <m/>
    <x v="7"/>
    <m/>
    <x v="1193"/>
    <m/>
    <m/>
    <m/>
    <m/>
    <m/>
  </r>
  <r>
    <m/>
    <m/>
    <x v="7"/>
    <m/>
    <x v="1193"/>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x v="0"/>
    <x v="0"/>
    <s v="Monitor"/>
    <n v="5"/>
    <n v="570.62"/>
    <s v="928 Main St"/>
    <s v="Debit Card"/>
    <n v="7"/>
    <x v="0"/>
    <n v="2853.1"/>
  </r>
  <r>
    <x v="1"/>
    <x v="1"/>
    <s v="Phone"/>
    <n v="2"/>
    <n v="151.35"/>
    <s v="823 Main St"/>
    <s v="Online"/>
    <n v="3"/>
    <x v="1"/>
    <n v="302.7"/>
  </r>
  <r>
    <x v="2"/>
    <x v="2"/>
    <s v="Tablet"/>
    <n v="5"/>
    <n v="550.67999999999995"/>
    <s v="512 Main St"/>
    <s v="Credit Card"/>
    <n v="8"/>
    <x v="2"/>
    <n v="2753.4"/>
  </r>
  <r>
    <x v="3"/>
    <x v="3"/>
    <s v="Chair"/>
    <n v="1"/>
    <n v="273.19"/>
    <s v="275 Main St"/>
    <s v="Debit Card"/>
    <n v="5"/>
    <x v="3"/>
    <n v="273.19"/>
  </r>
  <r>
    <x v="4"/>
    <x v="4"/>
    <s v="Printer"/>
    <n v="4"/>
    <n v="626.01"/>
    <s v="668 Main St"/>
    <s v="Online"/>
    <n v="8"/>
    <x v="2"/>
    <n v="2504.04"/>
  </r>
  <r>
    <x v="5"/>
    <x v="5"/>
    <s v="Phone"/>
    <n v="2"/>
    <n v="245.86"/>
    <s v="934 Main St"/>
    <s v="Credit Card"/>
    <n v="4"/>
    <x v="0"/>
    <n v="491.72"/>
  </r>
  <r>
    <x v="6"/>
    <x v="6"/>
    <s v="Laptop"/>
    <n v="1"/>
    <n v="664.42"/>
    <s v="986 Main St"/>
    <s v="Gift Card"/>
    <n v="6"/>
    <x v="3"/>
    <n v="664.42"/>
  </r>
  <r>
    <x v="7"/>
    <x v="7"/>
    <s v="Monitor"/>
    <n v="5"/>
    <n v="149.55000000000001"/>
    <s v="706 Main St"/>
    <s v="Cash"/>
    <n v="9"/>
    <x v="3"/>
    <n v="747.75"/>
  </r>
  <r>
    <x v="8"/>
    <x v="8"/>
    <s v="Phone"/>
    <n v="2"/>
    <n v="134.28"/>
    <s v="904 Main St"/>
    <s v="Gift Card"/>
    <n v="2"/>
    <x v="2"/>
    <n v="268.56"/>
  </r>
  <r>
    <x v="9"/>
    <x v="9"/>
    <s v="Desk"/>
    <n v="4"/>
    <n v="509.38"/>
    <s v="102 Main St"/>
    <s v="Credit Card"/>
    <n v="6"/>
    <x v="4"/>
    <n v="2037.52"/>
  </r>
  <r>
    <x v="10"/>
    <x v="10"/>
    <s v="Tablet"/>
    <n v="5"/>
    <n v="625.97"/>
    <s v="333 Main St"/>
    <s v="Credit Card"/>
    <n v="9"/>
    <x v="0"/>
    <n v="3129.85"/>
  </r>
  <r>
    <x v="11"/>
    <x v="11"/>
    <s v="Monitor"/>
    <n v="3"/>
    <n v="49.14"/>
    <s v="831 Main St"/>
    <s v="Online"/>
    <n v="7"/>
    <x v="2"/>
    <n v="147.41999999999999"/>
  </r>
  <r>
    <x v="12"/>
    <x v="12"/>
    <s v="Monitor"/>
    <n v="2"/>
    <n v="180.5"/>
    <s v="179 Main St"/>
    <s v="Debit Card"/>
    <n v="6"/>
    <x v="1"/>
    <n v="361"/>
  </r>
  <r>
    <x v="13"/>
    <x v="13"/>
    <s v="Laptop"/>
    <n v="3"/>
    <n v="201.49"/>
    <s v="903 Main St"/>
    <s v="Credit Card"/>
    <n v="4"/>
    <x v="3"/>
    <n v="604.47"/>
  </r>
  <r>
    <x v="14"/>
    <x v="14"/>
    <s v="Tablet"/>
    <n v="2"/>
    <n v="393.33"/>
    <s v="980 Main St"/>
    <s v="Debit Card"/>
    <n v="3"/>
    <x v="0"/>
    <n v="786.66"/>
  </r>
  <r>
    <x v="15"/>
    <x v="15"/>
    <s v="Printer"/>
    <n v="1"/>
    <n v="473.96"/>
    <s v="942 Main St"/>
    <s v="Cash"/>
    <n v="3"/>
    <x v="4"/>
    <n v="473.96"/>
  </r>
  <r>
    <x v="16"/>
    <x v="16"/>
    <s v="Printer"/>
    <n v="2"/>
    <n v="533.80999999999995"/>
    <s v="914 Main St"/>
    <s v="Credit Card"/>
    <n v="3"/>
    <x v="2"/>
    <n v="1067.6199999999999"/>
  </r>
  <r>
    <x v="17"/>
    <x v="17"/>
    <s v="Tablet"/>
    <n v="1"/>
    <n v="423.4"/>
    <s v="382 Main St"/>
    <s v="Debit Card"/>
    <n v="3"/>
    <x v="1"/>
    <n v="423.4"/>
  </r>
  <r>
    <x v="18"/>
    <x v="18"/>
    <s v="Desk"/>
    <n v="1"/>
    <n v="431.44"/>
    <s v="891 Main St"/>
    <s v="Gift Card"/>
    <n v="3"/>
    <x v="3"/>
    <n v="431.44"/>
  </r>
  <r>
    <x v="19"/>
    <x v="19"/>
    <s v="Monitor"/>
    <n v="5"/>
    <n v="224"/>
    <s v="273 Main St"/>
    <s v="Cash"/>
    <n v="9"/>
    <x v="4"/>
    <n v="1120"/>
  </r>
  <r>
    <x v="20"/>
    <x v="20"/>
    <s v="Chair"/>
    <n v="5"/>
    <n v="62.51"/>
    <s v="587 Main St"/>
    <s v="Cash"/>
    <n v="9"/>
    <x v="0"/>
    <n v="312.55"/>
  </r>
  <r>
    <x v="21"/>
    <x v="21"/>
    <s v="Monitor"/>
    <n v="4"/>
    <n v="342.95"/>
    <s v="569 Main St"/>
    <s v="Cash"/>
    <n v="6"/>
    <x v="4"/>
    <n v="1371.8"/>
  </r>
  <r>
    <x v="22"/>
    <x v="22"/>
    <s v="Monitor"/>
    <n v="2"/>
    <n v="49.62"/>
    <s v="633 Main St"/>
    <s v="Online"/>
    <n v="2"/>
    <x v="4"/>
    <n v="99.24"/>
  </r>
  <r>
    <x v="23"/>
    <x v="23"/>
    <s v="Phone"/>
    <n v="4"/>
    <n v="273.25"/>
    <s v="755 Main St"/>
    <s v="Debit Card"/>
    <n v="5"/>
    <x v="1"/>
    <n v="1093"/>
  </r>
  <r>
    <x v="24"/>
    <x v="24"/>
    <s v="Laptop"/>
    <n v="2"/>
    <n v="230.95"/>
    <s v="956 Main St"/>
    <s v="Online"/>
    <n v="3"/>
    <x v="1"/>
    <n v="461.9"/>
  </r>
  <r>
    <x v="25"/>
    <x v="25"/>
    <s v="Monitor"/>
    <n v="1"/>
    <n v="399.98"/>
    <s v="709 Main St"/>
    <s v="Debit Card"/>
    <n v="3"/>
    <x v="2"/>
    <n v="399.98"/>
  </r>
  <r>
    <x v="26"/>
    <x v="26"/>
    <s v="Laptop"/>
    <n v="5"/>
    <n v="59.55"/>
    <s v="296 Main St"/>
    <s v="Online"/>
    <n v="6"/>
    <x v="1"/>
    <n v="297.75"/>
  </r>
  <r>
    <x v="27"/>
    <x v="27"/>
    <s v="Printer"/>
    <n v="1"/>
    <n v="472.74"/>
    <s v="881 Main St"/>
    <s v="Online"/>
    <n v="6"/>
    <x v="4"/>
    <n v="472.74"/>
  </r>
  <r>
    <x v="28"/>
    <x v="28"/>
    <s v="Phone"/>
    <n v="4"/>
    <n v="160.07"/>
    <s v="568 Main St"/>
    <s v="Online"/>
    <n v="5"/>
    <x v="2"/>
    <n v="640.28"/>
  </r>
  <r>
    <x v="29"/>
    <x v="29"/>
    <s v="Desk"/>
    <n v="3"/>
    <n v="423.53"/>
    <s v="930 Main St"/>
    <s v="Credit Card"/>
    <n v="6"/>
    <x v="1"/>
    <n v="1270.5899999999999"/>
  </r>
  <r>
    <x v="30"/>
    <x v="30"/>
    <s v="Monitor"/>
    <n v="2"/>
    <n v="426.7"/>
    <s v="895 Main St"/>
    <s v="Online"/>
    <n v="5"/>
    <x v="1"/>
    <n v="853.4"/>
  </r>
  <r>
    <x v="31"/>
    <x v="31"/>
    <s v="Chair"/>
    <n v="3"/>
    <n v="500.08"/>
    <s v="996 Main St"/>
    <s v="Debit Card"/>
    <n v="6"/>
    <x v="3"/>
    <n v="1500.24"/>
  </r>
  <r>
    <x v="32"/>
    <x v="32"/>
    <s v="Tablet"/>
    <n v="5"/>
    <n v="536.72"/>
    <s v="830 Main St"/>
    <s v="Cash"/>
    <n v="10"/>
    <x v="2"/>
    <n v="2683.6"/>
  </r>
  <r>
    <x v="33"/>
    <x v="33"/>
    <s v="Chair"/>
    <n v="1"/>
    <n v="162.77000000000001"/>
    <s v="912 Main St"/>
    <s v="Online"/>
    <n v="4"/>
    <x v="3"/>
    <n v="162.77000000000001"/>
  </r>
  <r>
    <x v="34"/>
    <x v="34"/>
    <s v="Chair"/>
    <n v="4"/>
    <n v="576.52"/>
    <s v="926 Main St"/>
    <s v="Credit Card"/>
    <n v="5"/>
    <x v="3"/>
    <n v="2306.08"/>
  </r>
  <r>
    <x v="35"/>
    <x v="35"/>
    <s v="Monitor"/>
    <n v="2"/>
    <n v="465.15"/>
    <s v="128 Main St"/>
    <s v="Online"/>
    <n v="2"/>
    <x v="3"/>
    <n v="930.3"/>
  </r>
  <r>
    <x v="36"/>
    <x v="36"/>
    <s v="Laptop"/>
    <n v="2"/>
    <n v="534.42999999999995"/>
    <s v="465 Main St"/>
    <s v="Debit Card"/>
    <n v="5"/>
    <x v="3"/>
    <n v="1068.8599999999999"/>
  </r>
  <r>
    <x v="37"/>
    <x v="37"/>
    <s v="Laptop"/>
    <n v="2"/>
    <n v="76.739999999999995"/>
    <s v="409 Main St"/>
    <s v="Cash"/>
    <n v="7"/>
    <x v="0"/>
    <n v="153.47999999999999"/>
  </r>
  <r>
    <x v="38"/>
    <x v="38"/>
    <s v="Laptop"/>
    <n v="1"/>
    <n v="245.89"/>
    <s v="549 Main St"/>
    <s v="Debit Card"/>
    <n v="3"/>
    <x v="4"/>
    <n v="245.89"/>
  </r>
  <r>
    <x v="39"/>
    <x v="39"/>
    <s v="Printer"/>
    <n v="3"/>
    <n v="256.45999999999998"/>
    <s v="666 Main St"/>
    <s v="Credit Card"/>
    <n v="4"/>
    <x v="1"/>
    <n v="769.37999999999988"/>
  </r>
  <r>
    <x v="40"/>
    <x v="40"/>
    <s v="Desk"/>
    <n v="2"/>
    <n v="344.02"/>
    <s v="267 Main St"/>
    <s v="Online"/>
    <n v="4"/>
    <x v="0"/>
    <n v="688.04"/>
  </r>
  <r>
    <x v="41"/>
    <x v="41"/>
    <s v="Monitor"/>
    <n v="3"/>
    <n v="611.45000000000005"/>
    <s v="657 Main St"/>
    <s v="Gift Card"/>
    <n v="4"/>
    <x v="0"/>
    <n v="1834.35"/>
  </r>
  <r>
    <x v="42"/>
    <x v="42"/>
    <s v="Printer"/>
    <n v="2"/>
    <n v="151.66"/>
    <s v="980 Main St"/>
    <s v="Cash"/>
    <n v="6"/>
    <x v="0"/>
    <n v="303.32"/>
  </r>
  <r>
    <x v="43"/>
    <x v="43"/>
    <s v="Chair"/>
    <n v="3"/>
    <n v="499.21"/>
    <s v="871 Main St"/>
    <s v="Online"/>
    <n v="8"/>
    <x v="0"/>
    <n v="1497.63"/>
  </r>
  <r>
    <x v="44"/>
    <x v="44"/>
    <s v="Phone"/>
    <n v="2"/>
    <n v="550.17999999999995"/>
    <s v="996 Main St"/>
    <s v="Gift Card"/>
    <n v="3"/>
    <x v="1"/>
    <n v="1100.3599999999999"/>
  </r>
  <r>
    <x v="45"/>
    <x v="45"/>
    <s v="Chair"/>
    <n v="1"/>
    <n v="317.25"/>
    <s v="157 Main St"/>
    <s v="Debit Card"/>
    <n v="1"/>
    <x v="3"/>
    <n v="317.25"/>
  </r>
  <r>
    <x v="46"/>
    <x v="46"/>
    <s v="Monitor"/>
    <n v="4"/>
    <n v="550.14"/>
    <s v="223 Main St"/>
    <s v="Debit Card"/>
    <n v="4"/>
    <x v="0"/>
    <n v="2200.56"/>
  </r>
  <r>
    <x v="47"/>
    <x v="47"/>
    <s v="Desk"/>
    <n v="2"/>
    <n v="209.94"/>
    <s v="323 Main St"/>
    <s v="Credit Card"/>
    <n v="3"/>
    <x v="2"/>
    <n v="419.88"/>
  </r>
  <r>
    <x v="48"/>
    <x v="48"/>
    <s v="Monitor"/>
    <n v="2"/>
    <n v="80.77"/>
    <s v="464 Main St"/>
    <s v="Debit Card"/>
    <n v="4"/>
    <x v="4"/>
    <n v="161.54"/>
  </r>
  <r>
    <x v="49"/>
    <x v="49"/>
    <s v="Printer"/>
    <n v="1"/>
    <n v="30.44"/>
    <s v="633 Main St"/>
    <s v="Credit Card"/>
    <n v="1"/>
    <x v="2"/>
    <n v="30.44"/>
  </r>
  <r>
    <x v="50"/>
    <x v="50"/>
    <s v="Tablet"/>
    <n v="1"/>
    <n v="179.22"/>
    <s v="446 Main St"/>
    <s v="Online"/>
    <n v="6"/>
    <x v="0"/>
    <n v="179.22"/>
  </r>
  <r>
    <x v="51"/>
    <x v="51"/>
    <s v="Tablet"/>
    <n v="1"/>
    <n v="388.33"/>
    <s v="434 Main St"/>
    <s v="Cash"/>
    <n v="2"/>
    <x v="3"/>
    <n v="388.33"/>
  </r>
  <r>
    <x v="52"/>
    <x v="52"/>
    <s v="Tablet"/>
    <n v="1"/>
    <n v="586.44000000000005"/>
    <s v="232 Main St"/>
    <s v="Online"/>
    <n v="5"/>
    <x v="3"/>
    <n v="586.44000000000005"/>
  </r>
  <r>
    <x v="53"/>
    <x v="53"/>
    <s v="Phone"/>
    <n v="4"/>
    <n v="488.78"/>
    <s v="512 Main St"/>
    <s v="Online"/>
    <n v="5"/>
    <x v="4"/>
    <n v="1955.12"/>
  </r>
  <r>
    <x v="54"/>
    <x v="54"/>
    <s v="Chair"/>
    <n v="1"/>
    <n v="280.25"/>
    <s v="623 Main St"/>
    <s v="Online"/>
    <n v="5"/>
    <x v="2"/>
    <n v="280.25"/>
  </r>
  <r>
    <x v="55"/>
    <x v="55"/>
    <s v="Printer"/>
    <n v="3"/>
    <n v="344.4"/>
    <s v="565 Main St"/>
    <s v="Online"/>
    <n v="3"/>
    <x v="3"/>
    <n v="1033.2"/>
  </r>
  <r>
    <x v="56"/>
    <x v="56"/>
    <s v="Tablet"/>
    <n v="3"/>
    <n v="479.21"/>
    <s v="566 Main St"/>
    <s v="Cash"/>
    <n v="5"/>
    <x v="1"/>
    <n v="1437.63"/>
  </r>
  <r>
    <x v="57"/>
    <x v="57"/>
    <s v="Printer"/>
    <n v="5"/>
    <n v="314.27"/>
    <s v="842 Main St"/>
    <s v="Cash"/>
    <n v="6"/>
    <x v="0"/>
    <n v="1571.35"/>
  </r>
  <r>
    <x v="58"/>
    <x v="58"/>
    <s v="Phone"/>
    <n v="4"/>
    <n v="474.69"/>
    <s v="202 Main St"/>
    <s v="Gift Card"/>
    <n v="6"/>
    <x v="4"/>
    <n v="1898.76"/>
  </r>
  <r>
    <x v="59"/>
    <x v="59"/>
    <s v="Chair"/>
    <n v="4"/>
    <n v="593.27"/>
    <s v="811 Main St"/>
    <s v="Online"/>
    <n v="5"/>
    <x v="3"/>
    <n v="2373.08"/>
  </r>
  <r>
    <x v="60"/>
    <x v="60"/>
    <s v="Desk"/>
    <n v="1"/>
    <n v="417.1"/>
    <s v="634 Main St"/>
    <s v="Debit Card"/>
    <n v="3"/>
    <x v="1"/>
    <n v="417.1"/>
  </r>
  <r>
    <x v="61"/>
    <x v="61"/>
    <s v="Desk"/>
    <n v="4"/>
    <n v="122.2"/>
    <s v="104 Main St"/>
    <s v="Cash"/>
    <n v="7"/>
    <x v="3"/>
    <n v="488.8"/>
  </r>
  <r>
    <x v="62"/>
    <x v="62"/>
    <s v="Desk"/>
    <n v="2"/>
    <n v="43.15"/>
    <s v="691 Main St"/>
    <s v="Debit Card"/>
    <n v="3"/>
    <x v="2"/>
    <n v="86.3"/>
  </r>
  <r>
    <x v="63"/>
    <x v="63"/>
    <s v="Chair"/>
    <n v="1"/>
    <n v="564.86"/>
    <s v="813 Main St"/>
    <s v="Debit Card"/>
    <n v="6"/>
    <x v="1"/>
    <n v="564.86"/>
  </r>
  <r>
    <x v="64"/>
    <x v="64"/>
    <s v="Printer"/>
    <n v="3"/>
    <n v="130.61000000000001"/>
    <s v="752 Main St"/>
    <s v="Debit Card"/>
    <n v="4"/>
    <x v="3"/>
    <n v="391.83"/>
  </r>
  <r>
    <x v="65"/>
    <x v="65"/>
    <s v="Monitor"/>
    <n v="5"/>
    <n v="81.7"/>
    <s v="385 Main St"/>
    <s v="Credit Card"/>
    <n v="6"/>
    <x v="0"/>
    <n v="408.5"/>
  </r>
  <r>
    <x v="66"/>
    <x v="66"/>
    <s v="Chair"/>
    <n v="5"/>
    <n v="127.18"/>
    <s v="715 Main St"/>
    <s v="Cash"/>
    <n v="9"/>
    <x v="1"/>
    <n v="635.90000000000009"/>
  </r>
  <r>
    <x v="67"/>
    <x v="67"/>
    <s v="Printer"/>
    <n v="4"/>
    <n v="12.1"/>
    <s v="440 Main St"/>
    <s v="Debit Card"/>
    <n v="8"/>
    <x v="4"/>
    <n v="48.4"/>
  </r>
  <r>
    <x v="68"/>
    <x v="68"/>
    <s v="Chair"/>
    <n v="3"/>
    <n v="490.92"/>
    <s v="709 Main St"/>
    <s v="Credit Card"/>
    <n v="5"/>
    <x v="2"/>
    <n v="1472.76"/>
  </r>
  <r>
    <x v="69"/>
    <x v="69"/>
    <s v="Monitor"/>
    <n v="3"/>
    <n v="478.65"/>
    <s v="552 Main St"/>
    <s v="Online"/>
    <n v="4"/>
    <x v="1"/>
    <n v="1435.95"/>
  </r>
  <r>
    <x v="70"/>
    <x v="70"/>
    <s v="Desk"/>
    <n v="1"/>
    <n v="629.21"/>
    <s v="384 Main St"/>
    <s v="Gift Card"/>
    <n v="2"/>
    <x v="0"/>
    <n v="629.21"/>
  </r>
  <r>
    <x v="71"/>
    <x v="71"/>
    <s v="Monitor"/>
    <n v="3"/>
    <n v="434.45"/>
    <s v="923 Main St"/>
    <s v="Credit Card"/>
    <n v="4"/>
    <x v="1"/>
    <n v="1303.3499999999999"/>
  </r>
  <r>
    <x v="72"/>
    <x v="72"/>
    <s v="Tablet"/>
    <n v="4"/>
    <n v="589.44000000000005"/>
    <s v="942 Main St"/>
    <s v="Gift Card"/>
    <n v="5"/>
    <x v="3"/>
    <n v="2357.7600000000002"/>
  </r>
  <r>
    <x v="73"/>
    <x v="73"/>
    <s v="Monitor"/>
    <n v="4"/>
    <n v="433.45"/>
    <s v="129 Main St"/>
    <s v="Gift Card"/>
    <n v="4"/>
    <x v="3"/>
    <n v="1733.8"/>
  </r>
  <r>
    <x v="74"/>
    <x v="74"/>
    <s v="Phone"/>
    <n v="5"/>
    <n v="90.87"/>
    <s v="622 Main St"/>
    <s v="Cash"/>
    <n v="5"/>
    <x v="0"/>
    <n v="454.35"/>
  </r>
  <r>
    <x v="75"/>
    <x v="75"/>
    <s v="Tablet"/>
    <n v="3"/>
    <n v="398.17"/>
    <s v="917 Main St"/>
    <s v="Debit Card"/>
    <n v="5"/>
    <x v="2"/>
    <n v="1194.51"/>
  </r>
  <r>
    <x v="76"/>
    <x v="76"/>
    <s v="Laptop"/>
    <n v="4"/>
    <n v="382.88"/>
    <s v="239 Main St"/>
    <s v="Cash"/>
    <n v="6"/>
    <x v="2"/>
    <n v="1531.52"/>
  </r>
  <r>
    <x v="77"/>
    <x v="77"/>
    <s v="Phone"/>
    <n v="1"/>
    <n v="583.17999999999995"/>
    <s v="348 Main St"/>
    <s v="Credit Card"/>
    <n v="5"/>
    <x v="4"/>
    <n v="583.17999999999995"/>
  </r>
  <r>
    <x v="78"/>
    <x v="78"/>
    <s v="Printer"/>
    <n v="4"/>
    <n v="175.36"/>
    <s v="146 Main St"/>
    <s v="Debit Card"/>
    <n v="4"/>
    <x v="0"/>
    <n v="701.44"/>
  </r>
  <r>
    <x v="79"/>
    <x v="79"/>
    <s v="Tablet"/>
    <n v="2"/>
    <n v="311.91000000000003"/>
    <s v="103 Main St"/>
    <s v="Online"/>
    <n v="2"/>
    <x v="3"/>
    <n v="623.82000000000005"/>
  </r>
  <r>
    <x v="80"/>
    <x v="80"/>
    <s v="Phone"/>
    <n v="3"/>
    <n v="589.55999999999995"/>
    <s v="591 Main St"/>
    <s v="Online"/>
    <n v="6"/>
    <x v="3"/>
    <n v="1768.68"/>
  </r>
  <r>
    <x v="81"/>
    <x v="81"/>
    <s v="Monitor"/>
    <n v="2"/>
    <n v="394.3"/>
    <s v="496 Main St"/>
    <s v="Cash"/>
    <n v="6"/>
    <x v="2"/>
    <n v="788.6"/>
  </r>
  <r>
    <x v="82"/>
    <x v="82"/>
    <s v="Tablet"/>
    <n v="4"/>
    <n v="565.20000000000005"/>
    <s v="971 Main St"/>
    <s v="Debit Card"/>
    <n v="9"/>
    <x v="4"/>
    <n v="2260.8000000000002"/>
  </r>
  <r>
    <x v="83"/>
    <x v="83"/>
    <s v="Laptop"/>
    <n v="4"/>
    <n v="540.41"/>
    <s v="989 Main St"/>
    <s v="Credit Card"/>
    <n v="6"/>
    <x v="1"/>
    <n v="2161.64"/>
  </r>
  <r>
    <x v="84"/>
    <x v="84"/>
    <s v="Monitor"/>
    <n v="2"/>
    <n v="165.49"/>
    <s v="967 Main St"/>
    <s v="Online"/>
    <n v="4"/>
    <x v="0"/>
    <n v="330.98"/>
  </r>
  <r>
    <x v="85"/>
    <x v="85"/>
    <s v="Tablet"/>
    <n v="3"/>
    <n v="146.72999999999999"/>
    <s v="768 Main St"/>
    <s v="Cash"/>
    <n v="8"/>
    <x v="2"/>
    <n v="440.18999999999988"/>
  </r>
  <r>
    <x v="86"/>
    <x v="86"/>
    <s v="Printer"/>
    <n v="5"/>
    <n v="643.03"/>
    <s v="447 Main St"/>
    <s v="Online"/>
    <n v="5"/>
    <x v="1"/>
    <n v="3215.15"/>
  </r>
  <r>
    <x v="87"/>
    <x v="87"/>
    <s v="Tablet"/>
    <n v="3"/>
    <n v="225.11"/>
    <s v="915 Main St"/>
    <s v="Cash"/>
    <n v="4"/>
    <x v="3"/>
    <n v="675.33"/>
  </r>
  <r>
    <x v="88"/>
    <x v="88"/>
    <s v="Desk"/>
    <n v="3"/>
    <n v="114.81"/>
    <s v="318 Main St"/>
    <s v="Gift Card"/>
    <n v="7"/>
    <x v="4"/>
    <n v="344.43"/>
  </r>
  <r>
    <x v="89"/>
    <x v="89"/>
    <s v="Printer"/>
    <n v="5"/>
    <n v="455.33"/>
    <s v="291 Main St"/>
    <s v="Credit Card"/>
    <n v="8"/>
    <x v="4"/>
    <n v="2276.65"/>
  </r>
  <r>
    <x v="90"/>
    <x v="90"/>
    <s v="Chair"/>
    <n v="4"/>
    <n v="182.08"/>
    <s v="611 Main St"/>
    <s v="Gift Card"/>
    <n v="4"/>
    <x v="2"/>
    <n v="728.32"/>
  </r>
  <r>
    <x v="91"/>
    <x v="91"/>
    <s v="Laptop"/>
    <n v="5"/>
    <n v="492.75"/>
    <s v="196 Main St"/>
    <s v="Cash"/>
    <n v="6"/>
    <x v="1"/>
    <n v="2463.75"/>
  </r>
  <r>
    <x v="92"/>
    <x v="92"/>
    <s v="Printer"/>
    <n v="4"/>
    <n v="48.61"/>
    <s v="203 Main St"/>
    <s v="Online"/>
    <n v="7"/>
    <x v="3"/>
    <n v="194.44"/>
  </r>
  <r>
    <x v="93"/>
    <x v="93"/>
    <s v="Desk"/>
    <n v="4"/>
    <n v="431.01"/>
    <s v="837 Main St"/>
    <s v="Credit Card"/>
    <n v="7"/>
    <x v="1"/>
    <n v="1724.04"/>
  </r>
  <r>
    <x v="94"/>
    <x v="94"/>
    <s v="Chair"/>
    <n v="1"/>
    <n v="531.17999999999995"/>
    <s v="781 Main St"/>
    <s v="Gift Card"/>
    <n v="6"/>
    <x v="0"/>
    <n v="531.17999999999995"/>
  </r>
  <r>
    <x v="95"/>
    <x v="95"/>
    <s v="Printer"/>
    <n v="4"/>
    <n v="117.51"/>
    <s v="839 Main St"/>
    <s v="Debit Card"/>
    <n v="7"/>
    <x v="1"/>
    <n v="470.04"/>
  </r>
  <r>
    <x v="96"/>
    <x v="96"/>
    <s v="Phone"/>
    <n v="2"/>
    <n v="232.83"/>
    <s v="103 Main St"/>
    <s v="Gift Card"/>
    <n v="7"/>
    <x v="0"/>
    <n v="465.66"/>
  </r>
  <r>
    <x v="97"/>
    <x v="97"/>
    <s v="Tablet"/>
    <n v="5"/>
    <n v="619.52"/>
    <s v="922 Main St"/>
    <s v="Debit Card"/>
    <n v="9"/>
    <x v="2"/>
    <n v="3097.6"/>
  </r>
  <r>
    <x v="98"/>
    <x v="98"/>
    <s v="Printer"/>
    <n v="2"/>
    <n v="228.54"/>
    <s v="533 Main St"/>
    <s v="Debit Card"/>
    <n v="3"/>
    <x v="2"/>
    <n v="457.08"/>
  </r>
  <r>
    <x v="99"/>
    <x v="99"/>
    <s v="Printer"/>
    <n v="1"/>
    <n v="201.58"/>
    <s v="717 Main St"/>
    <s v="Debit Card"/>
    <n v="2"/>
    <x v="2"/>
    <n v="201.58"/>
  </r>
  <r>
    <x v="100"/>
    <x v="100"/>
    <s v="Phone"/>
    <n v="3"/>
    <n v="664.79"/>
    <s v="743 Main St"/>
    <s v="Online"/>
    <n v="6"/>
    <x v="3"/>
    <n v="1994.37"/>
  </r>
  <r>
    <x v="101"/>
    <x v="101"/>
    <s v="Printer"/>
    <n v="1"/>
    <n v="381.02"/>
    <s v="152 Main St"/>
    <s v="Cash"/>
    <n v="6"/>
    <x v="4"/>
    <n v="381.02"/>
  </r>
  <r>
    <x v="102"/>
    <x v="102"/>
    <s v="Laptop"/>
    <n v="2"/>
    <n v="70.34"/>
    <s v="944 Main St"/>
    <s v="Gift Card"/>
    <n v="3"/>
    <x v="2"/>
    <n v="140.68"/>
  </r>
  <r>
    <x v="103"/>
    <x v="103"/>
    <s v="Phone"/>
    <n v="4"/>
    <n v="218.43"/>
    <s v="514 Main St"/>
    <s v="Credit Card"/>
    <n v="9"/>
    <x v="2"/>
    <n v="873.72"/>
  </r>
  <r>
    <x v="104"/>
    <x v="104"/>
    <s v="Phone"/>
    <n v="1"/>
    <n v="582.04"/>
    <s v="647 Main St"/>
    <s v="Gift Card"/>
    <n v="1"/>
    <x v="2"/>
    <n v="582.04"/>
  </r>
  <r>
    <x v="105"/>
    <x v="105"/>
    <s v="Printer"/>
    <n v="3"/>
    <n v="185.4"/>
    <s v="810 Main St"/>
    <s v="Gift Card"/>
    <n v="7"/>
    <x v="3"/>
    <n v="556.20000000000005"/>
  </r>
  <r>
    <x v="106"/>
    <x v="106"/>
    <s v="Desk"/>
    <n v="3"/>
    <n v="465.05"/>
    <s v="126 Main St"/>
    <s v="Credit Card"/>
    <n v="3"/>
    <x v="2"/>
    <n v="1395.15"/>
  </r>
  <r>
    <x v="107"/>
    <x v="107"/>
    <s v="Printer"/>
    <n v="5"/>
    <n v="670.75"/>
    <s v="848 Main St"/>
    <s v="Gift Card"/>
    <n v="8"/>
    <x v="0"/>
    <n v="3353.75"/>
  </r>
  <r>
    <x v="108"/>
    <x v="108"/>
    <s v="Laptop"/>
    <n v="5"/>
    <n v="48.38"/>
    <s v="522 Main St"/>
    <s v="Gift Card"/>
    <n v="9"/>
    <x v="2"/>
    <n v="241.9"/>
  </r>
  <r>
    <x v="109"/>
    <x v="109"/>
    <s v="Desk"/>
    <n v="3"/>
    <n v="592.87"/>
    <s v="131 Main St"/>
    <s v="Gift Card"/>
    <n v="3"/>
    <x v="1"/>
    <n v="1778.61"/>
  </r>
  <r>
    <x v="110"/>
    <x v="110"/>
    <s v="Tablet"/>
    <n v="1"/>
    <n v="220.77"/>
    <s v="388 Main St"/>
    <s v="Gift Card"/>
    <n v="5"/>
    <x v="0"/>
    <n v="220.77"/>
  </r>
  <r>
    <x v="111"/>
    <x v="111"/>
    <s v="Desk"/>
    <n v="3"/>
    <n v="309.22000000000003"/>
    <s v="620 Main St"/>
    <s v="Online"/>
    <n v="7"/>
    <x v="4"/>
    <n v="927.66000000000008"/>
  </r>
  <r>
    <x v="112"/>
    <x v="112"/>
    <s v="Monitor"/>
    <n v="1"/>
    <n v="410.6"/>
    <s v="423 Main St"/>
    <s v="Online"/>
    <n v="2"/>
    <x v="1"/>
    <n v="410.6"/>
  </r>
  <r>
    <x v="113"/>
    <x v="113"/>
    <s v="Laptop"/>
    <n v="5"/>
    <n v="190.08"/>
    <s v="605 Main St"/>
    <s v="Cash"/>
    <n v="9"/>
    <x v="0"/>
    <n v="950.40000000000009"/>
  </r>
  <r>
    <x v="114"/>
    <x v="114"/>
    <s v="Monitor"/>
    <n v="5"/>
    <n v="498.48"/>
    <s v="115 Main St"/>
    <s v="Online"/>
    <n v="8"/>
    <x v="4"/>
    <n v="2492.4"/>
  </r>
  <r>
    <x v="115"/>
    <x v="115"/>
    <s v="Phone"/>
    <n v="5"/>
    <n v="374.99"/>
    <s v="122 Main St"/>
    <s v="Online"/>
    <n v="9"/>
    <x v="3"/>
    <n v="1874.95"/>
  </r>
  <r>
    <x v="116"/>
    <x v="116"/>
    <s v="Printer"/>
    <n v="4"/>
    <n v="291.35000000000002"/>
    <s v="109 Main St"/>
    <s v="Credit Card"/>
    <n v="6"/>
    <x v="3"/>
    <n v="1165.4000000000001"/>
  </r>
  <r>
    <x v="117"/>
    <x v="117"/>
    <s v="Tablet"/>
    <n v="1"/>
    <n v="535.5"/>
    <s v="593 Main St"/>
    <s v="Gift Card"/>
    <n v="5"/>
    <x v="1"/>
    <n v="535.5"/>
  </r>
  <r>
    <x v="118"/>
    <x v="118"/>
    <s v="Printer"/>
    <n v="5"/>
    <n v="502.71"/>
    <s v="807 Main St"/>
    <s v="Gift Card"/>
    <n v="7"/>
    <x v="4"/>
    <n v="2513.5500000000002"/>
  </r>
  <r>
    <x v="119"/>
    <x v="119"/>
    <s v="Desk"/>
    <n v="2"/>
    <n v="534.66999999999996"/>
    <s v="187 Main St"/>
    <s v="Debit Card"/>
    <n v="7"/>
    <x v="1"/>
    <n v="1069.3399999999999"/>
  </r>
  <r>
    <x v="120"/>
    <x v="120"/>
    <s v="Tablet"/>
    <n v="4"/>
    <n v="629.34"/>
    <s v="986 Main St"/>
    <s v="Cash"/>
    <n v="4"/>
    <x v="0"/>
    <n v="2517.36"/>
  </r>
  <r>
    <x v="121"/>
    <x v="121"/>
    <s v="Desk"/>
    <n v="1"/>
    <n v="410.78"/>
    <s v="673 Main St"/>
    <s v="Cash"/>
    <n v="1"/>
    <x v="0"/>
    <n v="410.78"/>
  </r>
  <r>
    <x v="122"/>
    <x v="122"/>
    <s v="Laptop"/>
    <n v="2"/>
    <n v="533.02"/>
    <s v="588 Main St"/>
    <s v="Gift Card"/>
    <n v="2"/>
    <x v="3"/>
    <n v="1066.04"/>
  </r>
  <r>
    <x v="123"/>
    <x v="123"/>
    <s v="Desk"/>
    <n v="3"/>
    <n v="278.04000000000002"/>
    <s v="727 Main St"/>
    <s v="Online"/>
    <n v="5"/>
    <x v="0"/>
    <n v="834.12000000000012"/>
  </r>
  <r>
    <x v="124"/>
    <x v="124"/>
    <s v="Printer"/>
    <n v="4"/>
    <n v="283.79000000000002"/>
    <s v="563 Main St"/>
    <s v="Online"/>
    <n v="8"/>
    <x v="4"/>
    <n v="1135.1600000000001"/>
  </r>
  <r>
    <x v="125"/>
    <x v="125"/>
    <s v="Phone"/>
    <n v="2"/>
    <n v="512.65"/>
    <s v="758 Main St"/>
    <s v="Credit Card"/>
    <n v="5"/>
    <x v="2"/>
    <n v="1025.3"/>
  </r>
  <r>
    <x v="126"/>
    <x v="126"/>
    <s v="Desk"/>
    <n v="4"/>
    <n v="275.5"/>
    <s v="353 Main St"/>
    <s v="Gift Card"/>
    <n v="8"/>
    <x v="4"/>
    <n v="1102"/>
  </r>
  <r>
    <x v="127"/>
    <x v="127"/>
    <s v="Desk"/>
    <n v="3"/>
    <n v="469.32"/>
    <s v="365 Main St"/>
    <s v="Debit Card"/>
    <n v="3"/>
    <x v="4"/>
    <n v="1407.96"/>
  </r>
  <r>
    <x v="128"/>
    <x v="128"/>
    <s v="Tablet"/>
    <n v="4"/>
    <n v="21.07"/>
    <s v="244 Main St"/>
    <s v="Gift Card"/>
    <n v="4"/>
    <x v="4"/>
    <n v="84.28"/>
  </r>
  <r>
    <x v="129"/>
    <x v="129"/>
    <s v="Laptop"/>
    <n v="4"/>
    <n v="263.93"/>
    <s v="427 Main St"/>
    <s v="Debit Card"/>
    <n v="4"/>
    <x v="3"/>
    <n v="1055.72"/>
  </r>
  <r>
    <x v="130"/>
    <x v="130"/>
    <s v="Desk"/>
    <n v="3"/>
    <n v="501.3"/>
    <s v="513 Main St"/>
    <s v="Online"/>
    <n v="3"/>
    <x v="3"/>
    <n v="1503.9"/>
  </r>
  <r>
    <x v="131"/>
    <x v="131"/>
    <s v="Tablet"/>
    <n v="1"/>
    <n v="84.8"/>
    <s v="606 Main St"/>
    <s v="Gift Card"/>
    <n v="5"/>
    <x v="0"/>
    <n v="84.8"/>
  </r>
  <r>
    <x v="132"/>
    <x v="132"/>
    <s v="Tablet"/>
    <n v="4"/>
    <n v="450.75"/>
    <s v="583 Main St"/>
    <s v="Credit Card"/>
    <n v="6"/>
    <x v="2"/>
    <n v="1803"/>
  </r>
  <r>
    <x v="133"/>
    <x v="133"/>
    <s v="Chair"/>
    <n v="4"/>
    <n v="302.05"/>
    <s v="636 Main St"/>
    <s v="Debit Card"/>
    <n v="6"/>
    <x v="4"/>
    <n v="1208.2"/>
  </r>
  <r>
    <x v="134"/>
    <x v="134"/>
    <s v="Laptop"/>
    <n v="2"/>
    <n v="199.7"/>
    <s v="583 Main St"/>
    <s v="Cash"/>
    <n v="4"/>
    <x v="2"/>
    <n v="399.4"/>
  </r>
  <r>
    <x v="135"/>
    <x v="135"/>
    <s v="Printer"/>
    <n v="2"/>
    <n v="68.81"/>
    <s v="642 Main St"/>
    <s v="Gift Card"/>
    <n v="5"/>
    <x v="1"/>
    <n v="137.62"/>
  </r>
  <r>
    <x v="136"/>
    <x v="136"/>
    <s v="Laptop"/>
    <n v="1"/>
    <n v="44.35"/>
    <s v="595 Main St"/>
    <s v="Gift Card"/>
    <n v="1"/>
    <x v="0"/>
    <n v="44.35"/>
  </r>
  <r>
    <x v="137"/>
    <x v="137"/>
    <s v="Monitor"/>
    <n v="2"/>
    <n v="250.98"/>
    <s v="598 Main St"/>
    <s v="Credit Card"/>
    <n v="5"/>
    <x v="4"/>
    <n v="501.96"/>
  </r>
  <r>
    <x v="138"/>
    <x v="138"/>
    <s v="Tablet"/>
    <n v="1"/>
    <n v="298.06"/>
    <s v="478 Main St"/>
    <s v="Debit Card"/>
    <n v="3"/>
    <x v="4"/>
    <n v="298.06"/>
  </r>
  <r>
    <x v="139"/>
    <x v="139"/>
    <s v="Phone"/>
    <n v="1"/>
    <n v="583.9"/>
    <s v="714 Main St"/>
    <s v="Cash"/>
    <n v="1"/>
    <x v="2"/>
    <n v="583.9"/>
  </r>
  <r>
    <x v="140"/>
    <x v="140"/>
    <s v="Chair"/>
    <n v="3"/>
    <n v="528.14"/>
    <s v="388 Main St"/>
    <s v="Online"/>
    <n v="3"/>
    <x v="2"/>
    <n v="1584.42"/>
  </r>
  <r>
    <x v="141"/>
    <x v="141"/>
    <s v="Printer"/>
    <n v="3"/>
    <n v="684.14"/>
    <s v="151 Main St"/>
    <s v="Cash"/>
    <n v="3"/>
    <x v="0"/>
    <n v="2052.42"/>
  </r>
  <r>
    <x v="142"/>
    <x v="142"/>
    <s v="Desk"/>
    <n v="5"/>
    <n v="272.77"/>
    <s v="573 Main St"/>
    <s v="Cash"/>
    <n v="7"/>
    <x v="2"/>
    <n v="1363.85"/>
  </r>
  <r>
    <x v="143"/>
    <x v="143"/>
    <s v="Chair"/>
    <n v="4"/>
    <n v="400.07"/>
    <s v="933 Main St"/>
    <s v="Online"/>
    <n v="5"/>
    <x v="1"/>
    <n v="1600.28"/>
  </r>
  <r>
    <x v="144"/>
    <x v="144"/>
    <s v="Desk"/>
    <n v="5"/>
    <n v="219.78"/>
    <s v="895 Main St"/>
    <s v="Credit Card"/>
    <n v="8"/>
    <x v="3"/>
    <n v="1098.9000000000001"/>
  </r>
  <r>
    <x v="145"/>
    <x v="145"/>
    <s v="Printer"/>
    <n v="3"/>
    <n v="146.91"/>
    <s v="798 Main St"/>
    <s v="Credit Card"/>
    <n v="6"/>
    <x v="4"/>
    <n v="440.73"/>
  </r>
  <r>
    <x v="146"/>
    <x v="146"/>
    <s v="Tablet"/>
    <n v="2"/>
    <n v="411.49"/>
    <s v="404 Main St"/>
    <s v="Credit Card"/>
    <n v="4"/>
    <x v="0"/>
    <n v="822.98"/>
  </r>
  <r>
    <x v="147"/>
    <x v="147"/>
    <s v="Laptop"/>
    <n v="2"/>
    <n v="465.18"/>
    <s v="893 Main St"/>
    <s v="Credit Card"/>
    <n v="2"/>
    <x v="4"/>
    <n v="930.36"/>
  </r>
  <r>
    <x v="148"/>
    <x v="148"/>
    <s v="Phone"/>
    <n v="2"/>
    <n v="319.91000000000003"/>
    <s v="139 Main St"/>
    <s v="Credit Card"/>
    <n v="3"/>
    <x v="4"/>
    <n v="639.82000000000005"/>
  </r>
  <r>
    <x v="149"/>
    <x v="149"/>
    <s v="Laptop"/>
    <n v="1"/>
    <n v="217.56"/>
    <s v="174 Main St"/>
    <s v="Debit Card"/>
    <n v="3"/>
    <x v="3"/>
    <n v="217.56"/>
  </r>
  <r>
    <x v="150"/>
    <x v="150"/>
    <s v="Phone"/>
    <n v="2"/>
    <n v="105.57"/>
    <s v="981 Main St"/>
    <s v="Debit Card"/>
    <n v="5"/>
    <x v="4"/>
    <n v="211.14"/>
  </r>
  <r>
    <x v="151"/>
    <x v="151"/>
    <s v="Printer"/>
    <n v="5"/>
    <n v="444.76"/>
    <s v="947 Main St"/>
    <s v="Debit Card"/>
    <n v="7"/>
    <x v="2"/>
    <n v="2223.8000000000002"/>
  </r>
  <r>
    <x v="152"/>
    <x v="152"/>
    <s v="Chair"/>
    <n v="2"/>
    <n v="399.04"/>
    <s v="659 Main St"/>
    <s v="Cash"/>
    <n v="3"/>
    <x v="1"/>
    <n v="798.08"/>
  </r>
  <r>
    <x v="153"/>
    <x v="153"/>
    <s v="Chair"/>
    <n v="4"/>
    <n v="534.48"/>
    <s v="437 Main St"/>
    <s v="Online"/>
    <n v="9"/>
    <x v="0"/>
    <n v="2137.92"/>
  </r>
  <r>
    <x v="154"/>
    <x v="154"/>
    <s v="Phone"/>
    <n v="4"/>
    <n v="408.21"/>
    <s v="727 Main St"/>
    <s v="Credit Card"/>
    <n v="9"/>
    <x v="0"/>
    <n v="1632.84"/>
  </r>
  <r>
    <x v="155"/>
    <x v="155"/>
    <s v="Phone"/>
    <n v="1"/>
    <n v="424.4"/>
    <s v="446 Main St"/>
    <s v="Online"/>
    <n v="6"/>
    <x v="1"/>
    <n v="424.4"/>
  </r>
  <r>
    <x v="156"/>
    <x v="156"/>
    <s v="Chair"/>
    <n v="2"/>
    <n v="269.83"/>
    <s v="651 Main St"/>
    <s v="Online"/>
    <n v="4"/>
    <x v="2"/>
    <n v="539.66"/>
  </r>
  <r>
    <x v="157"/>
    <x v="157"/>
    <s v="Monitor"/>
    <n v="2"/>
    <n v="564.58000000000004"/>
    <s v="636 Main St"/>
    <s v="Online"/>
    <n v="4"/>
    <x v="3"/>
    <n v="1129.1600000000001"/>
  </r>
  <r>
    <x v="158"/>
    <x v="158"/>
    <s v="Tablet"/>
    <n v="1"/>
    <n v="331.06"/>
    <s v="737 Main St"/>
    <s v="Credit Card"/>
    <n v="5"/>
    <x v="0"/>
    <n v="331.06"/>
  </r>
  <r>
    <x v="159"/>
    <x v="159"/>
    <s v="Printer"/>
    <n v="1"/>
    <n v="299.35000000000002"/>
    <s v="819 Main St"/>
    <s v="Credit Card"/>
    <n v="5"/>
    <x v="2"/>
    <n v="299.35000000000002"/>
  </r>
  <r>
    <x v="160"/>
    <x v="160"/>
    <s v="Monitor"/>
    <n v="4"/>
    <n v="101.32"/>
    <s v="240 Main St"/>
    <s v="Cash"/>
    <n v="7"/>
    <x v="1"/>
    <n v="405.28"/>
  </r>
  <r>
    <x v="161"/>
    <x v="161"/>
    <s v="Monitor"/>
    <n v="1"/>
    <n v="211.14"/>
    <s v="513 Main St"/>
    <s v="Credit Card"/>
    <n v="1"/>
    <x v="3"/>
    <n v="211.14"/>
  </r>
  <r>
    <x v="162"/>
    <x v="162"/>
    <s v="Chair"/>
    <n v="3"/>
    <n v="65.86"/>
    <s v="917 Main St"/>
    <s v="Online"/>
    <n v="8"/>
    <x v="4"/>
    <n v="197.58"/>
  </r>
  <r>
    <x v="163"/>
    <x v="163"/>
    <s v="Tablet"/>
    <n v="1"/>
    <n v="641.39"/>
    <s v="277 Main St"/>
    <s v="Online"/>
    <n v="1"/>
    <x v="1"/>
    <n v="641.39"/>
  </r>
  <r>
    <x v="164"/>
    <x v="164"/>
    <s v="Desk"/>
    <n v="5"/>
    <n v="536.58000000000004"/>
    <s v="667 Main St"/>
    <s v="Gift Card"/>
    <n v="5"/>
    <x v="4"/>
    <n v="2682.9"/>
  </r>
  <r>
    <x v="165"/>
    <x v="165"/>
    <s v="Monitor"/>
    <n v="2"/>
    <n v="500.29"/>
    <s v="226 Main St"/>
    <s v="Online"/>
    <n v="7"/>
    <x v="4"/>
    <n v="1000.58"/>
  </r>
  <r>
    <x v="166"/>
    <x v="166"/>
    <s v="Chair"/>
    <n v="3"/>
    <n v="86.29"/>
    <s v="565 Main St"/>
    <s v="Cash"/>
    <n v="6"/>
    <x v="0"/>
    <n v="258.87"/>
  </r>
  <r>
    <x v="167"/>
    <x v="167"/>
    <s v="Chair"/>
    <n v="2"/>
    <n v="384.14"/>
    <s v="219 Main St"/>
    <s v="Online"/>
    <n v="2"/>
    <x v="2"/>
    <n v="768.28"/>
  </r>
  <r>
    <x v="168"/>
    <x v="168"/>
    <s v="Printer"/>
    <n v="1"/>
    <n v="594.96"/>
    <s v="878 Main St"/>
    <s v="Cash"/>
    <n v="6"/>
    <x v="3"/>
    <n v="594.96"/>
  </r>
  <r>
    <x v="169"/>
    <x v="169"/>
    <s v="Printer"/>
    <n v="1"/>
    <n v="427.82"/>
    <s v="732 Main St"/>
    <s v="Online"/>
    <n v="2"/>
    <x v="2"/>
    <n v="427.82"/>
  </r>
  <r>
    <x v="170"/>
    <x v="170"/>
    <s v="Desk"/>
    <n v="4"/>
    <n v="662.94"/>
    <s v="535 Main St"/>
    <s v="Cash"/>
    <n v="8"/>
    <x v="0"/>
    <n v="2651.76"/>
  </r>
  <r>
    <x v="171"/>
    <x v="171"/>
    <s v="Tablet"/>
    <n v="2"/>
    <n v="148.22"/>
    <s v="336 Main St"/>
    <s v="Credit Card"/>
    <n v="7"/>
    <x v="0"/>
    <n v="296.44"/>
  </r>
  <r>
    <x v="172"/>
    <x v="172"/>
    <s v="Printer"/>
    <n v="1"/>
    <n v="254.12"/>
    <s v="365 Main St"/>
    <s v="Online"/>
    <n v="1"/>
    <x v="2"/>
    <n v="254.12"/>
  </r>
  <r>
    <x v="173"/>
    <x v="173"/>
    <s v="Phone"/>
    <n v="3"/>
    <n v="664.46"/>
    <s v="806 Main St"/>
    <s v="Online"/>
    <n v="4"/>
    <x v="4"/>
    <n v="1993.38"/>
  </r>
  <r>
    <x v="174"/>
    <x v="174"/>
    <s v="Printer"/>
    <n v="4"/>
    <n v="600.80999999999995"/>
    <s v="790 Main St"/>
    <s v="Debit Card"/>
    <n v="9"/>
    <x v="2"/>
    <n v="2403.2399999999998"/>
  </r>
  <r>
    <x v="175"/>
    <x v="175"/>
    <s v="Chair"/>
    <n v="5"/>
    <n v="68.34"/>
    <s v="332 Main St"/>
    <s v="Debit Card"/>
    <n v="6"/>
    <x v="1"/>
    <n v="341.7"/>
  </r>
  <r>
    <x v="176"/>
    <x v="176"/>
    <s v="Tablet"/>
    <n v="4"/>
    <n v="430.83"/>
    <s v="553 Main St"/>
    <s v="Gift Card"/>
    <n v="8"/>
    <x v="1"/>
    <n v="1723.32"/>
  </r>
  <r>
    <x v="177"/>
    <x v="177"/>
    <s v="Chair"/>
    <n v="5"/>
    <n v="431.69"/>
    <s v="354 Main St"/>
    <s v="Credit Card"/>
    <n v="10"/>
    <x v="3"/>
    <n v="2158.4499999999998"/>
  </r>
  <r>
    <x v="178"/>
    <x v="178"/>
    <s v="Chair"/>
    <n v="4"/>
    <n v="512.05999999999995"/>
    <s v="283 Main St"/>
    <s v="Online"/>
    <n v="5"/>
    <x v="4"/>
    <n v="2048.2399999999998"/>
  </r>
  <r>
    <x v="179"/>
    <x v="179"/>
    <s v="Laptop"/>
    <n v="3"/>
    <n v="539.91"/>
    <s v="500 Main St"/>
    <s v="Credit Card"/>
    <n v="8"/>
    <x v="2"/>
    <n v="1619.73"/>
  </r>
  <r>
    <x v="180"/>
    <x v="180"/>
    <s v="Tablet"/>
    <n v="5"/>
    <n v="316.07"/>
    <s v="970 Main St"/>
    <s v="Cash"/>
    <n v="10"/>
    <x v="4"/>
    <n v="1580.35"/>
  </r>
  <r>
    <x v="181"/>
    <x v="181"/>
    <s v="Printer"/>
    <n v="5"/>
    <n v="404.39"/>
    <s v="247 Main St"/>
    <s v="Online"/>
    <n v="10"/>
    <x v="1"/>
    <n v="2021.95"/>
  </r>
  <r>
    <x v="182"/>
    <x v="182"/>
    <s v="Desk"/>
    <n v="1"/>
    <n v="600.54"/>
    <s v="596 Main St"/>
    <s v="Debit Card"/>
    <n v="4"/>
    <x v="4"/>
    <n v="600.54"/>
  </r>
  <r>
    <x v="183"/>
    <x v="183"/>
    <s v="Monitor"/>
    <n v="5"/>
    <n v="186.28"/>
    <s v="258 Main St"/>
    <s v="Debit Card"/>
    <n v="8"/>
    <x v="2"/>
    <n v="931.4"/>
  </r>
  <r>
    <x v="184"/>
    <x v="184"/>
    <s v="Tablet"/>
    <n v="4"/>
    <n v="214.54"/>
    <s v="231 Main St"/>
    <s v="Gift Card"/>
    <n v="7"/>
    <x v="1"/>
    <n v="858.16"/>
  </r>
  <r>
    <x v="185"/>
    <x v="185"/>
    <s v="Laptop"/>
    <n v="1"/>
    <n v="210.7"/>
    <s v="572 Main St"/>
    <s v="Online"/>
    <n v="2"/>
    <x v="1"/>
    <n v="210.7"/>
  </r>
  <r>
    <x v="186"/>
    <x v="186"/>
    <s v="Phone"/>
    <n v="2"/>
    <n v="133.55000000000001"/>
    <s v="322 Main St"/>
    <s v="Cash"/>
    <n v="7"/>
    <x v="3"/>
    <n v="267.10000000000002"/>
  </r>
  <r>
    <x v="187"/>
    <x v="187"/>
    <s v="Chair"/>
    <n v="1"/>
    <n v="590.87"/>
    <s v="689 Main St"/>
    <s v="Gift Card"/>
    <n v="6"/>
    <x v="1"/>
    <n v="590.87"/>
  </r>
  <r>
    <x v="188"/>
    <x v="188"/>
    <s v="Chair"/>
    <n v="2"/>
    <n v="363.91"/>
    <s v="927 Main St"/>
    <s v="Gift Card"/>
    <n v="2"/>
    <x v="1"/>
    <n v="727.82"/>
  </r>
  <r>
    <x v="189"/>
    <x v="189"/>
    <s v="Printer"/>
    <n v="5"/>
    <n v="429.45"/>
    <s v="597 Main St"/>
    <s v="Gift Card"/>
    <n v="5"/>
    <x v="2"/>
    <n v="2147.25"/>
  </r>
  <r>
    <x v="190"/>
    <x v="190"/>
    <s v="Printer"/>
    <n v="3"/>
    <n v="223.7"/>
    <s v="725 Main St"/>
    <s v="Cash"/>
    <n v="3"/>
    <x v="2"/>
    <n v="671.09999999999991"/>
  </r>
  <r>
    <x v="191"/>
    <x v="191"/>
    <s v="Laptop"/>
    <n v="2"/>
    <n v="488.87"/>
    <s v="505 Main St"/>
    <s v="Online"/>
    <n v="4"/>
    <x v="4"/>
    <n v="977.74"/>
  </r>
  <r>
    <x v="192"/>
    <x v="192"/>
    <s v="Desk"/>
    <n v="1"/>
    <n v="645.46"/>
    <s v="151 Main St"/>
    <s v="Gift Card"/>
    <n v="5"/>
    <x v="4"/>
    <n v="645.46"/>
  </r>
  <r>
    <x v="193"/>
    <x v="193"/>
    <s v="Printer"/>
    <n v="1"/>
    <n v="46.66"/>
    <s v="429 Main St"/>
    <s v="Cash"/>
    <n v="6"/>
    <x v="4"/>
    <n v="46.66"/>
  </r>
  <r>
    <x v="194"/>
    <x v="194"/>
    <s v="Monitor"/>
    <n v="1"/>
    <n v="249.57"/>
    <s v="899 Main St"/>
    <s v="Cash"/>
    <n v="3"/>
    <x v="4"/>
    <n v="249.57"/>
  </r>
  <r>
    <x v="195"/>
    <x v="195"/>
    <s v="Chair"/>
    <n v="3"/>
    <n v="619.21"/>
    <s v="801 Main St"/>
    <s v="Debit Card"/>
    <n v="6"/>
    <x v="2"/>
    <n v="1857.63"/>
  </r>
  <r>
    <x v="196"/>
    <x v="196"/>
    <s v="Desk"/>
    <n v="4"/>
    <n v="217.13"/>
    <s v="719 Main St"/>
    <s v="Cash"/>
    <n v="8"/>
    <x v="2"/>
    <n v="868.52"/>
  </r>
  <r>
    <x v="197"/>
    <x v="197"/>
    <s v="Laptop"/>
    <n v="5"/>
    <n v="221.51"/>
    <s v="723 Main St"/>
    <s v="Cash"/>
    <n v="5"/>
    <x v="1"/>
    <n v="1107.55"/>
  </r>
  <r>
    <x v="198"/>
    <x v="198"/>
    <s v="Laptop"/>
    <n v="4"/>
    <n v="340.3"/>
    <s v="926 Main St"/>
    <s v="Cash"/>
    <n v="8"/>
    <x v="1"/>
    <n v="1361.2"/>
  </r>
  <r>
    <x v="199"/>
    <x v="199"/>
    <s v="Phone"/>
    <n v="1"/>
    <n v="625"/>
    <s v="358 Main St"/>
    <s v="Online"/>
    <n v="5"/>
    <x v="4"/>
    <n v="625"/>
  </r>
  <r>
    <x v="200"/>
    <x v="200"/>
    <s v="Tablet"/>
    <n v="5"/>
    <n v="433.26"/>
    <s v="895 Main St"/>
    <s v="Credit Card"/>
    <n v="9"/>
    <x v="4"/>
    <n v="2166.3000000000002"/>
  </r>
  <r>
    <x v="201"/>
    <x v="201"/>
    <s v="Monitor"/>
    <n v="2"/>
    <n v="674.9"/>
    <s v="146 Main St"/>
    <s v="Online"/>
    <n v="4"/>
    <x v="3"/>
    <n v="1349.8"/>
  </r>
  <r>
    <x v="202"/>
    <x v="202"/>
    <s v="Monitor"/>
    <n v="3"/>
    <n v="253.98"/>
    <s v="636 Main St"/>
    <s v="Credit Card"/>
    <n v="3"/>
    <x v="2"/>
    <n v="761.93999999999994"/>
  </r>
  <r>
    <x v="203"/>
    <x v="203"/>
    <s v="Printer"/>
    <n v="3"/>
    <n v="356.84"/>
    <s v="172 Main St"/>
    <s v="Online"/>
    <n v="5"/>
    <x v="0"/>
    <n v="1070.52"/>
  </r>
  <r>
    <x v="204"/>
    <x v="204"/>
    <s v="Laptop"/>
    <n v="4"/>
    <n v="413.71"/>
    <s v="478 Main St"/>
    <s v="Gift Card"/>
    <n v="9"/>
    <x v="3"/>
    <n v="1654.84"/>
  </r>
  <r>
    <x v="205"/>
    <x v="205"/>
    <s v="Desk"/>
    <n v="3"/>
    <n v="147.38999999999999"/>
    <s v="609 Main St"/>
    <s v="Debit Card"/>
    <n v="3"/>
    <x v="2"/>
    <n v="442.17"/>
  </r>
  <r>
    <x v="206"/>
    <x v="206"/>
    <s v="Laptop"/>
    <n v="4"/>
    <n v="229.1"/>
    <s v="729 Main St"/>
    <s v="Gift Card"/>
    <n v="8"/>
    <x v="2"/>
    <n v="916.4"/>
  </r>
  <r>
    <x v="207"/>
    <x v="207"/>
    <s v="Phone"/>
    <n v="1"/>
    <n v="121.96"/>
    <s v="999 Main St"/>
    <s v="Debit Card"/>
    <n v="3"/>
    <x v="4"/>
    <n v="121.96"/>
  </r>
  <r>
    <x v="208"/>
    <x v="208"/>
    <s v="Desk"/>
    <n v="2"/>
    <n v="408.32"/>
    <s v="597 Main St"/>
    <s v="Online"/>
    <n v="3"/>
    <x v="3"/>
    <n v="816.64"/>
  </r>
  <r>
    <x v="209"/>
    <x v="209"/>
    <s v="Tablet"/>
    <n v="5"/>
    <n v="187.97"/>
    <s v="706 Main St"/>
    <s v="Cash"/>
    <n v="9"/>
    <x v="4"/>
    <n v="939.85"/>
  </r>
  <r>
    <x v="210"/>
    <x v="210"/>
    <s v="Chair"/>
    <n v="3"/>
    <n v="358.48"/>
    <s v="513 Main St"/>
    <s v="Gift Card"/>
    <n v="7"/>
    <x v="3"/>
    <n v="1075.44"/>
  </r>
  <r>
    <x v="211"/>
    <x v="211"/>
    <s v="Printer"/>
    <n v="3"/>
    <n v="193.58"/>
    <s v="185 Main St"/>
    <s v="Gift Card"/>
    <n v="7"/>
    <x v="2"/>
    <n v="580.74"/>
  </r>
  <r>
    <x v="212"/>
    <x v="212"/>
    <s v="Monitor"/>
    <n v="1"/>
    <n v="265.38"/>
    <s v="367 Main St"/>
    <s v="Credit Card"/>
    <n v="6"/>
    <x v="2"/>
    <n v="265.38"/>
  </r>
  <r>
    <x v="213"/>
    <x v="213"/>
    <s v="Laptop"/>
    <n v="1"/>
    <n v="634.4"/>
    <s v="317 Main St"/>
    <s v="Cash"/>
    <n v="6"/>
    <x v="2"/>
    <n v="634.4"/>
  </r>
  <r>
    <x v="214"/>
    <x v="214"/>
    <s v="Desk"/>
    <n v="4"/>
    <n v="305.72000000000003"/>
    <s v="673 Main St"/>
    <s v="Online"/>
    <n v="5"/>
    <x v="3"/>
    <n v="1222.8800000000001"/>
  </r>
  <r>
    <x v="215"/>
    <x v="215"/>
    <s v="Printer"/>
    <n v="1"/>
    <n v="303.60000000000002"/>
    <s v="432 Main St"/>
    <s v="Cash"/>
    <n v="5"/>
    <x v="3"/>
    <n v="303.60000000000002"/>
  </r>
  <r>
    <x v="216"/>
    <x v="216"/>
    <s v="Monitor"/>
    <n v="4"/>
    <n v="496"/>
    <s v="811 Main St"/>
    <s v="Online"/>
    <n v="8"/>
    <x v="4"/>
    <n v="1984"/>
  </r>
  <r>
    <x v="217"/>
    <x v="217"/>
    <s v="Desk"/>
    <n v="4"/>
    <n v="321.51"/>
    <s v="908 Main St"/>
    <s v="Cash"/>
    <n v="9"/>
    <x v="4"/>
    <n v="1286.04"/>
  </r>
  <r>
    <x v="218"/>
    <x v="218"/>
    <s v="Tablet"/>
    <n v="3"/>
    <n v="112.46"/>
    <s v="882 Main St"/>
    <s v="Gift Card"/>
    <n v="6"/>
    <x v="0"/>
    <n v="337.38"/>
  </r>
  <r>
    <x v="219"/>
    <x v="219"/>
    <s v="Laptop"/>
    <n v="5"/>
    <n v="61.97"/>
    <s v="457 Main St"/>
    <s v="Cash"/>
    <n v="6"/>
    <x v="2"/>
    <n v="309.85000000000002"/>
  </r>
  <r>
    <x v="220"/>
    <x v="220"/>
    <s v="Laptop"/>
    <n v="2"/>
    <n v="373.17"/>
    <s v="497 Main St"/>
    <s v="Credit Card"/>
    <n v="6"/>
    <x v="1"/>
    <n v="746.34"/>
  </r>
  <r>
    <x v="221"/>
    <x v="221"/>
    <s v="Tablet"/>
    <n v="5"/>
    <n v="639.37"/>
    <s v="552 Main St"/>
    <s v="Debit Card"/>
    <n v="6"/>
    <x v="4"/>
    <n v="3196.85"/>
  </r>
  <r>
    <x v="222"/>
    <x v="222"/>
    <s v="Chair"/>
    <n v="4"/>
    <n v="693.36"/>
    <s v="931 Main St"/>
    <s v="Online"/>
    <n v="8"/>
    <x v="0"/>
    <n v="2773.44"/>
  </r>
  <r>
    <x v="223"/>
    <x v="223"/>
    <s v="Phone"/>
    <n v="4"/>
    <n v="692.91"/>
    <s v="673 Main St"/>
    <s v="Credit Card"/>
    <n v="9"/>
    <x v="0"/>
    <n v="2771.64"/>
  </r>
  <r>
    <x v="224"/>
    <x v="224"/>
    <s v="Printer"/>
    <n v="4"/>
    <n v="91.46"/>
    <s v="507 Main St"/>
    <s v="Cash"/>
    <n v="9"/>
    <x v="1"/>
    <n v="365.84"/>
  </r>
  <r>
    <x v="225"/>
    <x v="225"/>
    <s v="Phone"/>
    <n v="3"/>
    <n v="273.95999999999998"/>
    <s v="692 Main St"/>
    <s v="Debit Card"/>
    <n v="8"/>
    <x v="4"/>
    <n v="821.87999999999988"/>
  </r>
  <r>
    <x v="226"/>
    <x v="226"/>
    <s v="Desk"/>
    <n v="3"/>
    <n v="588.04999999999995"/>
    <s v="242 Main St"/>
    <s v="Gift Card"/>
    <n v="8"/>
    <x v="0"/>
    <n v="1764.15"/>
  </r>
  <r>
    <x v="227"/>
    <x v="227"/>
    <s v="Monitor"/>
    <n v="2"/>
    <n v="365.17"/>
    <s v="353 Main St"/>
    <s v="Online"/>
    <n v="4"/>
    <x v="3"/>
    <n v="730.34"/>
  </r>
  <r>
    <x v="228"/>
    <x v="228"/>
    <s v="Chair"/>
    <n v="4"/>
    <n v="385.92"/>
    <s v="579 Main St"/>
    <s v="Credit Card"/>
    <n v="8"/>
    <x v="0"/>
    <n v="1543.68"/>
  </r>
  <r>
    <x v="229"/>
    <x v="229"/>
    <s v="Tablet"/>
    <n v="1"/>
    <n v="562.61"/>
    <s v="762 Main St"/>
    <s v="Credit Card"/>
    <n v="3"/>
    <x v="3"/>
    <n v="562.61"/>
  </r>
  <r>
    <x v="230"/>
    <x v="230"/>
    <s v="Desk"/>
    <n v="4"/>
    <n v="61.91"/>
    <s v="948 Main St"/>
    <s v="Gift Card"/>
    <n v="6"/>
    <x v="2"/>
    <n v="247.64"/>
  </r>
  <r>
    <x v="231"/>
    <x v="231"/>
    <s v="Phone"/>
    <n v="4"/>
    <n v="41.9"/>
    <s v="327 Main St"/>
    <s v="Gift Card"/>
    <n v="9"/>
    <x v="0"/>
    <n v="167.6"/>
  </r>
  <r>
    <x v="232"/>
    <x v="232"/>
    <s v="Printer"/>
    <n v="4"/>
    <n v="444.44"/>
    <s v="610 Main St"/>
    <s v="Debit Card"/>
    <n v="8"/>
    <x v="4"/>
    <n v="1777.76"/>
  </r>
  <r>
    <x v="233"/>
    <x v="233"/>
    <s v="Phone"/>
    <n v="3"/>
    <n v="311.33"/>
    <s v="146 Main St"/>
    <s v="Cash"/>
    <n v="3"/>
    <x v="0"/>
    <n v="933.99"/>
  </r>
  <r>
    <x v="234"/>
    <x v="234"/>
    <s v="Printer"/>
    <n v="4"/>
    <n v="236.41"/>
    <s v="337 Main St"/>
    <s v="Debit Card"/>
    <n v="7"/>
    <x v="4"/>
    <n v="945.64"/>
  </r>
  <r>
    <x v="235"/>
    <x v="235"/>
    <s v="Desk"/>
    <n v="1"/>
    <n v="65.45"/>
    <s v="815 Main St"/>
    <s v="Cash"/>
    <n v="2"/>
    <x v="4"/>
    <n v="65.45"/>
  </r>
  <r>
    <x v="236"/>
    <x v="236"/>
    <s v="Monitor"/>
    <n v="1"/>
    <n v="318.81"/>
    <s v="562 Main St"/>
    <s v="Debit Card"/>
    <n v="3"/>
    <x v="2"/>
    <n v="318.81"/>
  </r>
  <r>
    <x v="237"/>
    <x v="237"/>
    <s v="Monitor"/>
    <n v="3"/>
    <n v="583.72"/>
    <s v="783 Main St"/>
    <s v="Credit Card"/>
    <n v="5"/>
    <x v="3"/>
    <n v="1751.16"/>
  </r>
  <r>
    <x v="238"/>
    <x v="238"/>
    <s v="Desk"/>
    <n v="4"/>
    <n v="384.32"/>
    <s v="770 Main St"/>
    <s v="Credit Card"/>
    <n v="6"/>
    <x v="4"/>
    <n v="1537.28"/>
  </r>
  <r>
    <x v="239"/>
    <x v="239"/>
    <s v="Tablet"/>
    <n v="3"/>
    <n v="538.74"/>
    <s v="456 Main St"/>
    <s v="Online"/>
    <n v="6"/>
    <x v="2"/>
    <n v="1616.22"/>
  </r>
  <r>
    <x v="240"/>
    <x v="240"/>
    <s v="Tablet"/>
    <n v="1"/>
    <n v="17.239999999999998"/>
    <s v="255 Main St"/>
    <s v="Online"/>
    <n v="2"/>
    <x v="0"/>
    <n v="17.239999999999998"/>
  </r>
  <r>
    <x v="241"/>
    <x v="241"/>
    <s v="Chair"/>
    <n v="5"/>
    <n v="615.66999999999996"/>
    <s v="407 Main St"/>
    <s v="Online"/>
    <n v="6"/>
    <x v="2"/>
    <n v="3078.35"/>
  </r>
  <r>
    <x v="242"/>
    <x v="242"/>
    <s v="Printer"/>
    <n v="2"/>
    <n v="219.1"/>
    <s v="134 Main St"/>
    <s v="Online"/>
    <n v="4"/>
    <x v="1"/>
    <n v="438.2"/>
  </r>
  <r>
    <x v="243"/>
    <x v="243"/>
    <s v="Chair"/>
    <n v="2"/>
    <n v="144.66"/>
    <s v="506 Main St"/>
    <s v="Online"/>
    <n v="7"/>
    <x v="4"/>
    <n v="289.32"/>
  </r>
  <r>
    <x v="244"/>
    <x v="244"/>
    <s v="Desk"/>
    <n v="2"/>
    <n v="317.77"/>
    <s v="838 Main St"/>
    <s v="Debit Card"/>
    <n v="4"/>
    <x v="3"/>
    <n v="635.54"/>
  </r>
  <r>
    <x v="245"/>
    <x v="245"/>
    <s v="Laptop"/>
    <n v="1"/>
    <n v="223.3"/>
    <s v="306 Main St"/>
    <s v="Online"/>
    <n v="1"/>
    <x v="3"/>
    <n v="223.3"/>
  </r>
  <r>
    <x v="246"/>
    <x v="246"/>
    <s v="Desk"/>
    <n v="2"/>
    <n v="342.11"/>
    <s v="164 Main St"/>
    <s v="Gift Card"/>
    <n v="2"/>
    <x v="0"/>
    <n v="684.22"/>
  </r>
  <r>
    <x v="247"/>
    <x v="247"/>
    <s v="Printer"/>
    <n v="2"/>
    <n v="220.9"/>
    <s v="785 Main St"/>
    <s v="Gift Card"/>
    <n v="4"/>
    <x v="2"/>
    <n v="441.8"/>
  </r>
  <r>
    <x v="248"/>
    <x v="248"/>
    <s v="Laptop"/>
    <n v="1"/>
    <n v="670.54"/>
    <s v="471 Main St"/>
    <s v="Cash"/>
    <n v="6"/>
    <x v="1"/>
    <n v="670.54"/>
  </r>
  <r>
    <x v="249"/>
    <x v="249"/>
    <s v="Printer"/>
    <n v="1"/>
    <n v="546.19000000000005"/>
    <s v="245 Main St"/>
    <s v="Cash"/>
    <n v="5"/>
    <x v="1"/>
    <n v="546.19000000000005"/>
  </r>
  <r>
    <x v="250"/>
    <x v="250"/>
    <s v="Desk"/>
    <n v="3"/>
    <n v="42.95"/>
    <s v="318 Main St"/>
    <s v="Gift Card"/>
    <n v="8"/>
    <x v="2"/>
    <n v="128.85"/>
  </r>
  <r>
    <x v="251"/>
    <x v="251"/>
    <s v="Monitor"/>
    <n v="4"/>
    <n v="14.69"/>
    <s v="814 Main St"/>
    <s v="Cash"/>
    <n v="9"/>
    <x v="2"/>
    <n v="58.76"/>
  </r>
  <r>
    <x v="252"/>
    <x v="252"/>
    <s v="Phone"/>
    <n v="4"/>
    <n v="668.36"/>
    <s v="821 Main St"/>
    <s v="Gift Card"/>
    <n v="5"/>
    <x v="3"/>
    <n v="2673.44"/>
  </r>
  <r>
    <x v="253"/>
    <x v="253"/>
    <s v="Chair"/>
    <n v="4"/>
    <n v="413.74"/>
    <s v="743 Main St"/>
    <s v="Gift Card"/>
    <n v="7"/>
    <x v="0"/>
    <n v="1654.96"/>
  </r>
  <r>
    <x v="254"/>
    <x v="254"/>
    <s v="Monitor"/>
    <n v="3"/>
    <n v="263.19"/>
    <s v="770 Main St"/>
    <s v="Online"/>
    <n v="5"/>
    <x v="0"/>
    <n v="789.56999999999994"/>
  </r>
  <r>
    <x v="255"/>
    <x v="255"/>
    <s v="Monitor"/>
    <n v="1"/>
    <n v="263.95999999999998"/>
    <s v="806 Main St"/>
    <s v="Gift Card"/>
    <n v="2"/>
    <x v="4"/>
    <n v="263.95999999999998"/>
  </r>
  <r>
    <x v="256"/>
    <x v="256"/>
    <s v="Chair"/>
    <n v="5"/>
    <n v="75.81"/>
    <s v="463 Main St"/>
    <s v="Gift Card"/>
    <n v="10"/>
    <x v="0"/>
    <n v="379.05"/>
  </r>
  <r>
    <x v="257"/>
    <x v="257"/>
    <s v="Phone"/>
    <n v="1"/>
    <n v="406.22"/>
    <s v="712 Main St"/>
    <s v="Credit Card"/>
    <n v="5"/>
    <x v="1"/>
    <n v="406.22"/>
  </r>
  <r>
    <x v="258"/>
    <x v="258"/>
    <s v="Tablet"/>
    <n v="2"/>
    <n v="103.41"/>
    <s v="294 Main St"/>
    <s v="Online"/>
    <n v="2"/>
    <x v="1"/>
    <n v="206.82"/>
  </r>
  <r>
    <x v="259"/>
    <x v="259"/>
    <s v="Chair"/>
    <n v="4"/>
    <n v="435.12"/>
    <s v="636 Main St"/>
    <s v="Credit Card"/>
    <n v="9"/>
    <x v="0"/>
    <n v="1740.48"/>
  </r>
  <r>
    <x v="260"/>
    <x v="260"/>
    <s v="Monitor"/>
    <n v="2"/>
    <n v="407.79"/>
    <s v="153 Main St"/>
    <s v="Debit Card"/>
    <n v="3"/>
    <x v="4"/>
    <n v="815.58"/>
  </r>
  <r>
    <x v="261"/>
    <x v="261"/>
    <s v="Phone"/>
    <n v="5"/>
    <n v="173.65"/>
    <s v="460 Main St"/>
    <s v="Gift Card"/>
    <n v="9"/>
    <x v="2"/>
    <n v="868.25"/>
  </r>
  <r>
    <x v="262"/>
    <x v="262"/>
    <s v="Phone"/>
    <n v="4"/>
    <n v="249.07"/>
    <s v="642 Main St"/>
    <s v="Credit Card"/>
    <n v="5"/>
    <x v="1"/>
    <n v="996.28"/>
  </r>
  <r>
    <x v="263"/>
    <x v="263"/>
    <s v="Phone"/>
    <n v="4"/>
    <n v="434.85"/>
    <s v="250 Main St"/>
    <s v="Credit Card"/>
    <n v="4"/>
    <x v="4"/>
    <n v="1739.4"/>
  </r>
  <r>
    <x v="264"/>
    <x v="264"/>
    <s v="Tablet"/>
    <n v="1"/>
    <n v="436.77"/>
    <s v="977 Main St"/>
    <s v="Cash"/>
    <n v="5"/>
    <x v="4"/>
    <n v="436.77"/>
  </r>
  <r>
    <x v="265"/>
    <x v="265"/>
    <s v="Printer"/>
    <n v="1"/>
    <n v="572.13"/>
    <s v="150 Main St"/>
    <s v="Debit Card"/>
    <n v="4"/>
    <x v="4"/>
    <n v="572.13"/>
  </r>
  <r>
    <x v="266"/>
    <x v="266"/>
    <s v="Chair"/>
    <n v="4"/>
    <n v="583.07000000000005"/>
    <s v="589 Main St"/>
    <s v="Credit Card"/>
    <n v="6"/>
    <x v="1"/>
    <n v="2332.2800000000002"/>
  </r>
  <r>
    <x v="267"/>
    <x v="267"/>
    <s v="Chair"/>
    <n v="5"/>
    <n v="468.51"/>
    <s v="803 Main St"/>
    <s v="Debit Card"/>
    <n v="9"/>
    <x v="3"/>
    <n v="2342.5500000000002"/>
  </r>
  <r>
    <x v="268"/>
    <x v="268"/>
    <s v="Phone"/>
    <n v="2"/>
    <n v="423.88"/>
    <s v="655 Main St"/>
    <s v="Debit Card"/>
    <n v="7"/>
    <x v="1"/>
    <n v="847.76"/>
  </r>
  <r>
    <x v="269"/>
    <x v="269"/>
    <s v="Tablet"/>
    <n v="4"/>
    <n v="663.67"/>
    <s v="129 Main St"/>
    <s v="Credit Card"/>
    <n v="7"/>
    <x v="4"/>
    <n v="2654.68"/>
  </r>
  <r>
    <x v="270"/>
    <x v="270"/>
    <s v="Printer"/>
    <n v="4"/>
    <n v="309.91000000000003"/>
    <s v="127 Main St"/>
    <s v="Debit Card"/>
    <n v="5"/>
    <x v="4"/>
    <n v="1239.6400000000001"/>
  </r>
  <r>
    <x v="271"/>
    <x v="271"/>
    <s v="Monitor"/>
    <n v="1"/>
    <n v="542.07000000000005"/>
    <s v="791 Main St"/>
    <s v="Cash"/>
    <n v="6"/>
    <x v="1"/>
    <n v="542.07000000000005"/>
  </r>
  <r>
    <x v="272"/>
    <x v="272"/>
    <s v="Chair"/>
    <n v="2"/>
    <n v="399.32"/>
    <s v="119 Main St"/>
    <s v="Online"/>
    <n v="6"/>
    <x v="0"/>
    <n v="798.64"/>
  </r>
  <r>
    <x v="273"/>
    <x v="273"/>
    <s v="Tablet"/>
    <n v="2"/>
    <n v="238.25"/>
    <s v="974 Main St"/>
    <s v="Online"/>
    <n v="7"/>
    <x v="2"/>
    <n v="476.5"/>
  </r>
  <r>
    <x v="274"/>
    <x v="274"/>
    <s v="Phone"/>
    <n v="2"/>
    <n v="182.4"/>
    <s v="884 Main St"/>
    <s v="Gift Card"/>
    <n v="5"/>
    <x v="1"/>
    <n v="364.8"/>
  </r>
  <r>
    <x v="275"/>
    <x v="275"/>
    <s v="Chair"/>
    <n v="2"/>
    <n v="65.069999999999993"/>
    <s v="360 Main St"/>
    <s v="Credit Card"/>
    <n v="4"/>
    <x v="4"/>
    <n v="130.13999999999999"/>
  </r>
  <r>
    <x v="276"/>
    <x v="276"/>
    <s v="Printer"/>
    <n v="2"/>
    <n v="600.57000000000005"/>
    <s v="654 Main St"/>
    <s v="Debit Card"/>
    <n v="3"/>
    <x v="0"/>
    <n v="1201.1400000000001"/>
  </r>
  <r>
    <x v="277"/>
    <x v="277"/>
    <s v="Chair"/>
    <n v="5"/>
    <n v="90.92"/>
    <s v="910 Main St"/>
    <s v="Credit Card"/>
    <n v="9"/>
    <x v="3"/>
    <n v="454.6"/>
  </r>
  <r>
    <x v="278"/>
    <x v="278"/>
    <s v="Laptop"/>
    <n v="5"/>
    <n v="362.46"/>
    <s v="299 Main St"/>
    <s v="Cash"/>
    <n v="6"/>
    <x v="0"/>
    <n v="1812.3"/>
  </r>
  <r>
    <x v="279"/>
    <x v="279"/>
    <s v="Chair"/>
    <n v="3"/>
    <n v="55.01"/>
    <s v="263 Main St"/>
    <s v="Online"/>
    <n v="7"/>
    <x v="2"/>
    <n v="165.03"/>
  </r>
  <r>
    <x v="280"/>
    <x v="280"/>
    <s v="Tablet"/>
    <n v="3"/>
    <n v="404.62"/>
    <s v="740 Main St"/>
    <s v="Gift Card"/>
    <n v="6"/>
    <x v="0"/>
    <n v="1213.8599999999999"/>
  </r>
  <r>
    <x v="281"/>
    <x v="281"/>
    <s v="Desk"/>
    <n v="4"/>
    <n v="654.79"/>
    <s v="195 Main St"/>
    <s v="Cash"/>
    <n v="9"/>
    <x v="1"/>
    <n v="2619.16"/>
  </r>
  <r>
    <x v="282"/>
    <x v="282"/>
    <s v="Printer"/>
    <n v="4"/>
    <n v="637.79"/>
    <s v="375 Main St"/>
    <s v="Gift Card"/>
    <n v="9"/>
    <x v="4"/>
    <n v="2551.16"/>
  </r>
  <r>
    <x v="283"/>
    <x v="283"/>
    <s v="Laptop"/>
    <n v="4"/>
    <n v="540.33000000000004"/>
    <s v="990 Main St"/>
    <s v="Cash"/>
    <n v="6"/>
    <x v="4"/>
    <n v="2161.3200000000002"/>
  </r>
  <r>
    <x v="284"/>
    <x v="284"/>
    <s v="Laptop"/>
    <n v="5"/>
    <n v="208.17"/>
    <s v="516 Main St"/>
    <s v="Credit Card"/>
    <n v="6"/>
    <x v="3"/>
    <n v="1040.8499999999999"/>
  </r>
  <r>
    <x v="285"/>
    <x v="285"/>
    <s v="Phone"/>
    <n v="1"/>
    <n v="338.31"/>
    <s v="974 Main St"/>
    <s v="Online"/>
    <n v="3"/>
    <x v="4"/>
    <n v="338.31"/>
  </r>
  <r>
    <x v="286"/>
    <x v="286"/>
    <s v="Monitor"/>
    <n v="3"/>
    <n v="139.44999999999999"/>
    <s v="187 Main St"/>
    <s v="Gift Card"/>
    <n v="8"/>
    <x v="4"/>
    <n v="418.35"/>
  </r>
  <r>
    <x v="287"/>
    <x v="287"/>
    <s v="Chair"/>
    <n v="4"/>
    <n v="655.17999999999995"/>
    <s v="630 Main St"/>
    <s v="Online"/>
    <n v="5"/>
    <x v="3"/>
    <n v="2620.7199999999998"/>
  </r>
  <r>
    <x v="288"/>
    <x v="288"/>
    <s v="Laptop"/>
    <n v="4"/>
    <n v="512.75"/>
    <s v="537 Main St"/>
    <s v="Debit Card"/>
    <n v="8"/>
    <x v="4"/>
    <n v="2051"/>
  </r>
  <r>
    <x v="289"/>
    <x v="289"/>
    <s v="Chair"/>
    <n v="4"/>
    <n v="160.49"/>
    <s v="333 Main St"/>
    <s v="Credit Card"/>
    <n v="8"/>
    <x v="1"/>
    <n v="641.96"/>
  </r>
  <r>
    <x v="290"/>
    <x v="290"/>
    <s v="Chair"/>
    <n v="3"/>
    <n v="99.9"/>
    <s v="258 Main St"/>
    <s v="Cash"/>
    <n v="8"/>
    <x v="3"/>
    <n v="299.7"/>
  </r>
  <r>
    <x v="291"/>
    <x v="291"/>
    <s v="Phone"/>
    <n v="2"/>
    <n v="345.01"/>
    <s v="670 Main St"/>
    <s v="Credit Card"/>
    <n v="6"/>
    <x v="4"/>
    <n v="690.02"/>
  </r>
  <r>
    <x v="292"/>
    <x v="292"/>
    <s v="Monitor"/>
    <n v="1"/>
    <n v="65.95"/>
    <s v="185 Main St"/>
    <s v="Credit Card"/>
    <n v="5"/>
    <x v="3"/>
    <n v="65.95"/>
  </r>
  <r>
    <x v="293"/>
    <x v="293"/>
    <s v="Tablet"/>
    <n v="4"/>
    <n v="463.04"/>
    <s v="564 Main St"/>
    <s v="Gift Card"/>
    <n v="9"/>
    <x v="0"/>
    <n v="1852.16"/>
  </r>
  <r>
    <x v="294"/>
    <x v="294"/>
    <s v="Phone"/>
    <n v="2"/>
    <n v="297.70999999999998"/>
    <s v="208 Main St"/>
    <s v="Online"/>
    <n v="7"/>
    <x v="1"/>
    <n v="595.41999999999996"/>
  </r>
  <r>
    <x v="295"/>
    <x v="295"/>
    <s v="Printer"/>
    <n v="5"/>
    <n v="107.48"/>
    <s v="278 Main St"/>
    <s v="Debit Card"/>
    <n v="9"/>
    <x v="2"/>
    <n v="537.4"/>
  </r>
  <r>
    <x v="296"/>
    <x v="296"/>
    <s v="Desk"/>
    <n v="5"/>
    <n v="638.79999999999995"/>
    <s v="434 Main St"/>
    <s v="Debit Card"/>
    <n v="10"/>
    <x v="1"/>
    <n v="3194"/>
  </r>
  <r>
    <x v="297"/>
    <x v="297"/>
    <s v="Desk"/>
    <n v="2"/>
    <n v="493.88"/>
    <s v="252 Main St"/>
    <s v="Credit Card"/>
    <n v="7"/>
    <x v="0"/>
    <n v="987.76"/>
  </r>
  <r>
    <x v="298"/>
    <x v="298"/>
    <s v="Printer"/>
    <n v="4"/>
    <n v="301.17"/>
    <s v="267 Main St"/>
    <s v="Online"/>
    <n v="6"/>
    <x v="2"/>
    <n v="1204.68"/>
  </r>
  <r>
    <x v="299"/>
    <x v="299"/>
    <s v="Monitor"/>
    <n v="1"/>
    <n v="278.66000000000003"/>
    <s v="856 Main St"/>
    <s v="Gift Card"/>
    <n v="2"/>
    <x v="0"/>
    <n v="278.66000000000003"/>
  </r>
  <r>
    <x v="300"/>
    <x v="300"/>
    <s v="Phone"/>
    <n v="1"/>
    <n v="287.45999999999998"/>
    <s v="894 Main St"/>
    <s v="Debit Card"/>
    <n v="3"/>
    <x v="3"/>
    <n v="287.45999999999998"/>
  </r>
  <r>
    <x v="301"/>
    <x v="301"/>
    <s v="Chair"/>
    <n v="1"/>
    <n v="583.99"/>
    <s v="726 Main St"/>
    <s v="Cash"/>
    <n v="2"/>
    <x v="2"/>
    <n v="583.99"/>
  </r>
  <r>
    <x v="302"/>
    <x v="302"/>
    <s v="Chair"/>
    <n v="3"/>
    <n v="468.74"/>
    <s v="121 Main St"/>
    <s v="Cash"/>
    <n v="4"/>
    <x v="0"/>
    <n v="1406.22"/>
  </r>
  <r>
    <x v="303"/>
    <x v="303"/>
    <s v="Tablet"/>
    <n v="1"/>
    <n v="30.54"/>
    <s v="368 Main St"/>
    <s v="Debit Card"/>
    <n v="1"/>
    <x v="4"/>
    <n v="30.54"/>
  </r>
  <r>
    <x v="304"/>
    <x v="304"/>
    <s v="Monitor"/>
    <n v="5"/>
    <n v="408.73"/>
    <s v="326 Main St"/>
    <s v="Gift Card"/>
    <n v="10"/>
    <x v="0"/>
    <n v="2043.65"/>
  </r>
  <r>
    <x v="305"/>
    <x v="305"/>
    <s v="Laptop"/>
    <n v="4"/>
    <n v="126.89"/>
    <s v="235 Main St"/>
    <s v="Cash"/>
    <n v="9"/>
    <x v="0"/>
    <n v="507.56"/>
  </r>
  <r>
    <x v="306"/>
    <x v="306"/>
    <s v="Printer"/>
    <n v="2"/>
    <n v="57.07"/>
    <s v="238 Main St"/>
    <s v="Debit Card"/>
    <n v="3"/>
    <x v="0"/>
    <n v="114.14"/>
  </r>
  <r>
    <x v="307"/>
    <x v="307"/>
    <s v="Laptop"/>
    <n v="3"/>
    <n v="557.41"/>
    <s v="135 Main St"/>
    <s v="Online"/>
    <n v="4"/>
    <x v="2"/>
    <n v="1672.23"/>
  </r>
  <r>
    <x v="308"/>
    <x v="308"/>
    <s v="Printer"/>
    <n v="3"/>
    <n v="448.9"/>
    <s v="790 Main St"/>
    <s v="Debit Card"/>
    <n v="7"/>
    <x v="0"/>
    <n v="1346.7"/>
  </r>
  <r>
    <x v="309"/>
    <x v="309"/>
    <s v="Chair"/>
    <n v="4"/>
    <n v="549.76"/>
    <s v="625 Main St"/>
    <s v="Debit Card"/>
    <n v="4"/>
    <x v="3"/>
    <n v="2199.04"/>
  </r>
  <r>
    <x v="310"/>
    <x v="310"/>
    <s v="Printer"/>
    <n v="3"/>
    <n v="132.47999999999999"/>
    <s v="968 Main St"/>
    <s v="Online"/>
    <n v="4"/>
    <x v="1"/>
    <n v="397.43999999999988"/>
  </r>
  <r>
    <x v="311"/>
    <x v="311"/>
    <s v="Desk"/>
    <n v="5"/>
    <n v="489.37"/>
    <s v="274 Main St"/>
    <s v="Online"/>
    <n v="8"/>
    <x v="0"/>
    <n v="2446.85"/>
  </r>
  <r>
    <x v="312"/>
    <x v="312"/>
    <s v="Printer"/>
    <n v="5"/>
    <n v="66.31"/>
    <s v="579 Main St"/>
    <s v="Gift Card"/>
    <n v="7"/>
    <x v="1"/>
    <n v="331.55"/>
  </r>
  <r>
    <x v="313"/>
    <x v="313"/>
    <s v="Chair"/>
    <n v="2"/>
    <n v="434.3"/>
    <s v="978 Main St"/>
    <s v="Cash"/>
    <n v="7"/>
    <x v="0"/>
    <n v="868.6"/>
  </r>
  <r>
    <x v="314"/>
    <x v="314"/>
    <s v="Desk"/>
    <n v="4"/>
    <n v="153.09"/>
    <s v="540 Main St"/>
    <s v="Online"/>
    <n v="4"/>
    <x v="1"/>
    <n v="612.36"/>
  </r>
  <r>
    <x v="315"/>
    <x v="315"/>
    <s v="Tablet"/>
    <n v="5"/>
    <n v="91.67"/>
    <s v="301 Main St"/>
    <s v="Online"/>
    <n v="9"/>
    <x v="2"/>
    <n v="458.35"/>
  </r>
  <r>
    <x v="316"/>
    <x v="316"/>
    <s v="Desk"/>
    <n v="4"/>
    <n v="275.27999999999997"/>
    <s v="101 Main St"/>
    <s v="Gift Card"/>
    <n v="9"/>
    <x v="3"/>
    <n v="1101.1199999999999"/>
  </r>
  <r>
    <x v="317"/>
    <x v="317"/>
    <s v="Monitor"/>
    <n v="2"/>
    <n v="139.94999999999999"/>
    <s v="339 Main St"/>
    <s v="Online"/>
    <n v="5"/>
    <x v="0"/>
    <n v="279.89999999999998"/>
  </r>
  <r>
    <x v="318"/>
    <x v="318"/>
    <s v="Chair"/>
    <n v="3"/>
    <n v="148.72"/>
    <s v="317 Main St"/>
    <s v="Debit Card"/>
    <n v="7"/>
    <x v="4"/>
    <n v="446.16"/>
  </r>
  <r>
    <x v="319"/>
    <x v="319"/>
    <s v="Laptop"/>
    <n v="2"/>
    <n v="563.05999999999995"/>
    <s v="413 Main St"/>
    <s v="Cash"/>
    <n v="6"/>
    <x v="0"/>
    <n v="1126.1199999999999"/>
  </r>
  <r>
    <x v="320"/>
    <x v="320"/>
    <s v="Printer"/>
    <n v="1"/>
    <n v="625.51"/>
    <s v="772 Main St"/>
    <s v="Credit Card"/>
    <n v="1"/>
    <x v="3"/>
    <n v="625.51"/>
  </r>
  <r>
    <x v="321"/>
    <x v="321"/>
    <s v="Phone"/>
    <n v="4"/>
    <n v="152.29"/>
    <s v="135 Main St"/>
    <s v="Debit Card"/>
    <n v="6"/>
    <x v="4"/>
    <n v="609.16"/>
  </r>
  <r>
    <x v="322"/>
    <x v="322"/>
    <s v="Phone"/>
    <n v="5"/>
    <n v="231.82"/>
    <s v="339 Main St"/>
    <s v="Debit Card"/>
    <n v="6"/>
    <x v="3"/>
    <n v="1159.0999999999999"/>
  </r>
  <r>
    <x v="323"/>
    <x v="323"/>
    <s v="Laptop"/>
    <n v="1"/>
    <n v="150.16999999999999"/>
    <s v="414 Main St"/>
    <s v="Debit Card"/>
    <n v="1"/>
    <x v="1"/>
    <n v="150.16999999999999"/>
  </r>
  <r>
    <x v="324"/>
    <x v="324"/>
    <s v="Tablet"/>
    <n v="3"/>
    <n v="70.930000000000007"/>
    <s v="847 Main St"/>
    <s v="Debit Card"/>
    <n v="5"/>
    <x v="1"/>
    <n v="212.79"/>
  </r>
  <r>
    <x v="325"/>
    <x v="325"/>
    <s v="Desk"/>
    <n v="3"/>
    <n v="361.39"/>
    <s v="665 Main St"/>
    <s v="Credit Card"/>
    <n v="8"/>
    <x v="1"/>
    <n v="1084.17"/>
  </r>
  <r>
    <x v="326"/>
    <x v="326"/>
    <s v="Laptop"/>
    <n v="5"/>
    <n v="670.48"/>
    <s v="273 Main St"/>
    <s v="Gift Card"/>
    <n v="5"/>
    <x v="3"/>
    <n v="3352.4"/>
  </r>
  <r>
    <x v="327"/>
    <x v="327"/>
    <s v="Phone"/>
    <n v="1"/>
    <n v="359.99"/>
    <s v="385 Main St"/>
    <s v="Gift Card"/>
    <n v="5"/>
    <x v="2"/>
    <n v="359.99"/>
  </r>
  <r>
    <x v="328"/>
    <x v="328"/>
    <s v="Tablet"/>
    <n v="5"/>
    <n v="674.04"/>
    <s v="546 Main St"/>
    <s v="Online"/>
    <n v="7"/>
    <x v="4"/>
    <n v="3370.2"/>
  </r>
  <r>
    <x v="329"/>
    <x v="329"/>
    <s v="Chair"/>
    <n v="4"/>
    <n v="283.16000000000003"/>
    <s v="306 Main St"/>
    <s v="Credit Card"/>
    <n v="6"/>
    <x v="4"/>
    <n v="1132.6400000000001"/>
  </r>
  <r>
    <x v="330"/>
    <x v="330"/>
    <s v="Desk"/>
    <n v="5"/>
    <n v="260.52999999999997"/>
    <s v="532 Main St"/>
    <s v="Gift Card"/>
    <n v="5"/>
    <x v="0"/>
    <n v="1302.6500000000001"/>
  </r>
  <r>
    <x v="331"/>
    <x v="331"/>
    <s v="Printer"/>
    <n v="3"/>
    <n v="422.13"/>
    <s v="187 Main St"/>
    <s v="Online"/>
    <n v="7"/>
    <x v="3"/>
    <n v="1266.3900000000001"/>
  </r>
  <r>
    <x v="332"/>
    <x v="332"/>
    <s v="Desk"/>
    <n v="5"/>
    <n v="125.02"/>
    <s v="607 Main St"/>
    <s v="Debit Card"/>
    <n v="9"/>
    <x v="4"/>
    <n v="625.1"/>
  </r>
  <r>
    <x v="333"/>
    <x v="333"/>
    <s v="Phone"/>
    <n v="1"/>
    <n v="198.51"/>
    <s v="818 Main St"/>
    <s v="Credit Card"/>
    <n v="5"/>
    <x v="0"/>
    <n v="198.51"/>
  </r>
  <r>
    <x v="334"/>
    <x v="334"/>
    <s v="Chair"/>
    <n v="4"/>
    <n v="224.75"/>
    <s v="728 Main St"/>
    <s v="Online"/>
    <n v="7"/>
    <x v="3"/>
    <n v="899"/>
  </r>
  <r>
    <x v="335"/>
    <x v="335"/>
    <s v="Tablet"/>
    <n v="3"/>
    <n v="205.86"/>
    <s v="978 Main St"/>
    <s v="Gift Card"/>
    <n v="4"/>
    <x v="2"/>
    <n v="617.58000000000004"/>
  </r>
  <r>
    <x v="336"/>
    <x v="336"/>
    <s v="Laptop"/>
    <n v="1"/>
    <n v="18.2"/>
    <s v="441 Main St"/>
    <s v="Debit Card"/>
    <n v="4"/>
    <x v="0"/>
    <n v="18.2"/>
  </r>
  <r>
    <x v="337"/>
    <x v="337"/>
    <s v="Tablet"/>
    <n v="3"/>
    <n v="502.77"/>
    <s v="599 Main St"/>
    <s v="Debit Card"/>
    <n v="8"/>
    <x v="2"/>
    <n v="1508.31"/>
  </r>
  <r>
    <x v="338"/>
    <x v="338"/>
    <s v="Phone"/>
    <n v="5"/>
    <n v="305.49"/>
    <s v="704 Main St"/>
    <s v="Debit Card"/>
    <n v="10"/>
    <x v="1"/>
    <n v="1527.45"/>
  </r>
  <r>
    <x v="339"/>
    <x v="339"/>
    <s v="Printer"/>
    <n v="2"/>
    <n v="236.33"/>
    <s v="398 Main St"/>
    <s v="Online"/>
    <n v="3"/>
    <x v="0"/>
    <n v="472.66"/>
  </r>
  <r>
    <x v="340"/>
    <x v="340"/>
    <s v="Laptop"/>
    <n v="5"/>
    <n v="521.25"/>
    <s v="826 Main St"/>
    <s v="Cash"/>
    <n v="8"/>
    <x v="2"/>
    <n v="2606.25"/>
  </r>
  <r>
    <x v="341"/>
    <x v="341"/>
    <s v="Tablet"/>
    <n v="1"/>
    <n v="167.15"/>
    <s v="293 Main St"/>
    <s v="Gift Card"/>
    <n v="5"/>
    <x v="2"/>
    <n v="167.15"/>
  </r>
  <r>
    <x v="342"/>
    <x v="342"/>
    <s v="Monitor"/>
    <n v="5"/>
    <n v="466.42"/>
    <s v="619 Main St"/>
    <s v="Gift Card"/>
    <n v="5"/>
    <x v="1"/>
    <n v="2332.1"/>
  </r>
  <r>
    <x v="343"/>
    <x v="343"/>
    <s v="Printer"/>
    <n v="1"/>
    <n v="527.57000000000005"/>
    <s v="919 Main St"/>
    <s v="Debit Card"/>
    <n v="3"/>
    <x v="3"/>
    <n v="527.57000000000005"/>
  </r>
  <r>
    <x v="344"/>
    <x v="344"/>
    <s v="Tablet"/>
    <n v="3"/>
    <n v="623.34"/>
    <s v="248 Main St"/>
    <s v="Online"/>
    <n v="3"/>
    <x v="0"/>
    <n v="1870.02"/>
  </r>
  <r>
    <x v="345"/>
    <x v="345"/>
    <s v="Tablet"/>
    <n v="5"/>
    <n v="501.26"/>
    <s v="259 Main St"/>
    <s v="Gift Card"/>
    <n v="10"/>
    <x v="1"/>
    <n v="2506.3000000000002"/>
  </r>
  <r>
    <x v="346"/>
    <x v="346"/>
    <s v="Tablet"/>
    <n v="1"/>
    <n v="655.09"/>
    <s v="876 Main St"/>
    <s v="Cash"/>
    <n v="6"/>
    <x v="1"/>
    <n v="655.09"/>
  </r>
  <r>
    <x v="347"/>
    <x v="347"/>
    <s v="Printer"/>
    <n v="4"/>
    <n v="264.79000000000002"/>
    <s v="380 Main St"/>
    <s v="Credit Card"/>
    <n v="5"/>
    <x v="4"/>
    <n v="1059.1600000000001"/>
  </r>
  <r>
    <x v="348"/>
    <x v="348"/>
    <s v="Laptop"/>
    <n v="3"/>
    <n v="359.73"/>
    <s v="885 Main St"/>
    <s v="Debit Card"/>
    <n v="7"/>
    <x v="2"/>
    <n v="1079.19"/>
  </r>
  <r>
    <x v="349"/>
    <x v="349"/>
    <s v="Chair"/>
    <n v="1"/>
    <n v="465.33"/>
    <s v="824 Main St"/>
    <s v="Gift Card"/>
    <n v="2"/>
    <x v="4"/>
    <n v="465.33"/>
  </r>
  <r>
    <x v="350"/>
    <x v="350"/>
    <s v="Chair"/>
    <n v="2"/>
    <n v="54.41"/>
    <s v="495 Main St"/>
    <s v="Online"/>
    <n v="6"/>
    <x v="0"/>
    <n v="108.82"/>
  </r>
  <r>
    <x v="351"/>
    <x v="351"/>
    <s v="Laptop"/>
    <n v="1"/>
    <n v="64.66"/>
    <s v="494 Main St"/>
    <s v="Debit Card"/>
    <n v="4"/>
    <x v="0"/>
    <n v="64.66"/>
  </r>
  <r>
    <x v="352"/>
    <x v="352"/>
    <s v="Chair"/>
    <n v="5"/>
    <n v="173.96"/>
    <s v="995 Main St"/>
    <s v="Debit Card"/>
    <n v="8"/>
    <x v="0"/>
    <n v="869.80000000000007"/>
  </r>
  <r>
    <x v="353"/>
    <x v="353"/>
    <s v="Tablet"/>
    <n v="1"/>
    <n v="630.82000000000005"/>
    <s v="171 Main St"/>
    <s v="Online"/>
    <n v="5"/>
    <x v="4"/>
    <n v="630.82000000000005"/>
  </r>
  <r>
    <x v="354"/>
    <x v="354"/>
    <s v="Phone"/>
    <n v="1"/>
    <n v="693.41"/>
    <s v="992 Main St"/>
    <s v="Debit Card"/>
    <n v="4"/>
    <x v="0"/>
    <n v="693.41"/>
  </r>
  <r>
    <x v="355"/>
    <x v="355"/>
    <s v="Tablet"/>
    <n v="3"/>
    <n v="433.33"/>
    <s v="677 Main St"/>
    <s v="Credit Card"/>
    <n v="4"/>
    <x v="1"/>
    <n v="1299.99"/>
  </r>
  <r>
    <x v="356"/>
    <x v="356"/>
    <s v="Printer"/>
    <n v="5"/>
    <n v="374.58"/>
    <s v="907 Main St"/>
    <s v="Gift Card"/>
    <n v="10"/>
    <x v="0"/>
    <n v="1872.9"/>
  </r>
  <r>
    <x v="357"/>
    <x v="357"/>
    <s v="Laptop"/>
    <n v="5"/>
    <n v="408.56"/>
    <s v="398 Main St"/>
    <s v="Debit Card"/>
    <n v="8"/>
    <x v="0"/>
    <n v="2042.8"/>
  </r>
  <r>
    <x v="358"/>
    <x v="358"/>
    <s v="Tablet"/>
    <n v="2"/>
    <n v="183.67"/>
    <s v="747 Main St"/>
    <s v="Online"/>
    <n v="3"/>
    <x v="4"/>
    <n v="367.34"/>
  </r>
  <r>
    <x v="359"/>
    <x v="359"/>
    <s v="Desk"/>
    <n v="4"/>
    <n v="606.57000000000005"/>
    <s v="303 Main St"/>
    <s v="Debit Card"/>
    <n v="5"/>
    <x v="1"/>
    <n v="2426.2800000000002"/>
  </r>
  <r>
    <x v="360"/>
    <x v="360"/>
    <s v="Phone"/>
    <n v="4"/>
    <n v="589.57000000000005"/>
    <s v="779 Main St"/>
    <s v="Cash"/>
    <n v="8"/>
    <x v="0"/>
    <n v="2358.2800000000002"/>
  </r>
  <r>
    <x v="361"/>
    <x v="361"/>
    <s v="Printer"/>
    <n v="5"/>
    <n v="659.85"/>
    <s v="197 Main St"/>
    <s v="Credit Card"/>
    <n v="9"/>
    <x v="3"/>
    <n v="3299.25"/>
  </r>
  <r>
    <x v="362"/>
    <x v="362"/>
    <s v="Monitor"/>
    <n v="4"/>
    <n v="206.84"/>
    <s v="312 Main St"/>
    <s v="Cash"/>
    <n v="5"/>
    <x v="0"/>
    <n v="827.36"/>
  </r>
  <r>
    <x v="363"/>
    <x v="363"/>
    <s v="Laptop"/>
    <n v="5"/>
    <n v="113.87"/>
    <s v="871 Main St"/>
    <s v="Credit Card"/>
    <n v="6"/>
    <x v="2"/>
    <n v="569.35"/>
  </r>
  <r>
    <x v="364"/>
    <x v="364"/>
    <s v="Phone"/>
    <n v="5"/>
    <n v="628.74"/>
    <s v="740 Main St"/>
    <s v="Cash"/>
    <n v="9"/>
    <x v="3"/>
    <n v="3143.7"/>
  </r>
  <r>
    <x v="365"/>
    <x v="365"/>
    <s v="Phone"/>
    <n v="1"/>
    <n v="678.38"/>
    <s v="607 Main St"/>
    <s v="Credit Card"/>
    <n v="4"/>
    <x v="1"/>
    <n v="678.38"/>
  </r>
  <r>
    <x v="366"/>
    <x v="366"/>
    <s v="Printer"/>
    <n v="3"/>
    <n v="602.24"/>
    <s v="603 Main St"/>
    <s v="Debit Card"/>
    <n v="8"/>
    <x v="1"/>
    <n v="1806.72"/>
  </r>
  <r>
    <x v="367"/>
    <x v="367"/>
    <s v="Laptop"/>
    <n v="5"/>
    <n v="658.77"/>
    <s v="712 Main St"/>
    <s v="Gift Card"/>
    <n v="10"/>
    <x v="0"/>
    <n v="3293.85"/>
  </r>
  <r>
    <x v="368"/>
    <x v="368"/>
    <s v="Monitor"/>
    <n v="3"/>
    <n v="271.02"/>
    <s v="403 Main St"/>
    <s v="Credit Card"/>
    <n v="6"/>
    <x v="4"/>
    <n v="813.06"/>
  </r>
  <r>
    <x v="369"/>
    <x v="369"/>
    <s v="Monitor"/>
    <n v="5"/>
    <n v="375.25"/>
    <s v="216 Main St"/>
    <s v="Gift Card"/>
    <n v="9"/>
    <x v="2"/>
    <n v="1876.25"/>
  </r>
  <r>
    <x v="370"/>
    <x v="370"/>
    <s v="Phone"/>
    <n v="1"/>
    <n v="312.11"/>
    <s v="870 Main St"/>
    <s v="Online"/>
    <n v="4"/>
    <x v="3"/>
    <n v="312.11"/>
  </r>
  <r>
    <x v="371"/>
    <x v="371"/>
    <s v="Phone"/>
    <n v="5"/>
    <n v="307.76"/>
    <s v="179 Main St"/>
    <s v="Gift Card"/>
    <n v="9"/>
    <x v="4"/>
    <n v="1538.8"/>
  </r>
  <r>
    <x v="372"/>
    <x v="372"/>
    <s v="Chair"/>
    <n v="3"/>
    <n v="483.53"/>
    <s v="166 Main St"/>
    <s v="Cash"/>
    <n v="4"/>
    <x v="1"/>
    <n v="1450.59"/>
  </r>
  <r>
    <x v="373"/>
    <x v="373"/>
    <s v="Laptop"/>
    <n v="3"/>
    <n v="341.15"/>
    <s v="969 Main St"/>
    <s v="Cash"/>
    <n v="4"/>
    <x v="0"/>
    <n v="1023.45"/>
  </r>
  <r>
    <x v="374"/>
    <x v="374"/>
    <s v="Monitor"/>
    <n v="1"/>
    <n v="571.9"/>
    <s v="129 Main St"/>
    <s v="Gift Card"/>
    <n v="1"/>
    <x v="0"/>
    <n v="571.9"/>
  </r>
  <r>
    <x v="375"/>
    <x v="375"/>
    <s v="Monitor"/>
    <n v="4"/>
    <n v="95.03"/>
    <s v="400 Main St"/>
    <s v="Online"/>
    <n v="8"/>
    <x v="3"/>
    <n v="380.12"/>
  </r>
  <r>
    <x v="376"/>
    <x v="376"/>
    <s v="Monitor"/>
    <n v="5"/>
    <n v="201.22"/>
    <s v="341 Main St"/>
    <s v="Debit Card"/>
    <n v="6"/>
    <x v="3"/>
    <n v="1006.1"/>
  </r>
  <r>
    <x v="377"/>
    <x v="377"/>
    <s v="Monitor"/>
    <n v="1"/>
    <n v="260.26"/>
    <s v="625 Main St"/>
    <s v="Online"/>
    <n v="5"/>
    <x v="0"/>
    <n v="260.26"/>
  </r>
  <r>
    <x v="378"/>
    <x v="378"/>
    <s v="Chair"/>
    <n v="5"/>
    <n v="64.5"/>
    <s v="148 Main St"/>
    <s v="Credit Card"/>
    <n v="8"/>
    <x v="0"/>
    <n v="322.5"/>
  </r>
  <r>
    <x v="379"/>
    <x v="379"/>
    <s v="Phone"/>
    <n v="3"/>
    <n v="297.67"/>
    <s v="500 Main St"/>
    <s v="Online"/>
    <n v="6"/>
    <x v="4"/>
    <n v="893.01"/>
  </r>
  <r>
    <x v="380"/>
    <x v="380"/>
    <s v="Printer"/>
    <n v="4"/>
    <n v="331.9"/>
    <s v="127 Main St"/>
    <s v="Cash"/>
    <n v="5"/>
    <x v="0"/>
    <n v="1327.6"/>
  </r>
  <r>
    <x v="381"/>
    <x v="381"/>
    <s v="Chair"/>
    <n v="1"/>
    <n v="191.76"/>
    <s v="223 Main St"/>
    <s v="Credit Card"/>
    <n v="1"/>
    <x v="0"/>
    <n v="191.76"/>
  </r>
  <r>
    <x v="382"/>
    <x v="382"/>
    <s v="Printer"/>
    <n v="4"/>
    <n v="263.08999999999997"/>
    <s v="272 Main St"/>
    <s v="Debit Card"/>
    <n v="8"/>
    <x v="4"/>
    <n v="1052.3599999999999"/>
  </r>
  <r>
    <x v="383"/>
    <x v="383"/>
    <s v="Chair"/>
    <n v="4"/>
    <n v="393.8"/>
    <s v="837 Main St"/>
    <s v="Credit Card"/>
    <n v="7"/>
    <x v="2"/>
    <n v="1575.2"/>
  </r>
  <r>
    <x v="384"/>
    <x v="384"/>
    <s v="Chair"/>
    <n v="3"/>
    <n v="553.57000000000005"/>
    <s v="147 Main St"/>
    <s v="Credit Card"/>
    <n v="4"/>
    <x v="3"/>
    <n v="1660.71"/>
  </r>
  <r>
    <x v="385"/>
    <x v="385"/>
    <s v="Chair"/>
    <n v="5"/>
    <n v="191.63"/>
    <s v="752 Main St"/>
    <s v="Gift Card"/>
    <n v="6"/>
    <x v="3"/>
    <n v="958.15"/>
  </r>
  <r>
    <x v="386"/>
    <x v="386"/>
    <s v="Tablet"/>
    <n v="1"/>
    <n v="93.02"/>
    <s v="373 Main St"/>
    <s v="Online"/>
    <n v="4"/>
    <x v="2"/>
    <n v="93.02"/>
  </r>
  <r>
    <x v="387"/>
    <x v="387"/>
    <s v="Printer"/>
    <n v="2"/>
    <n v="39.53"/>
    <s v="904 Main St"/>
    <s v="Credit Card"/>
    <n v="3"/>
    <x v="4"/>
    <n v="79.06"/>
  </r>
  <r>
    <x v="388"/>
    <x v="388"/>
    <s v="Printer"/>
    <n v="3"/>
    <n v="633.97"/>
    <s v="152 Main St"/>
    <s v="Cash"/>
    <n v="7"/>
    <x v="3"/>
    <n v="1901.91"/>
  </r>
  <r>
    <x v="389"/>
    <x v="389"/>
    <s v="Desk"/>
    <n v="4"/>
    <n v="697.5"/>
    <s v="558 Main St"/>
    <s v="Cash"/>
    <n v="7"/>
    <x v="1"/>
    <n v="2790"/>
  </r>
  <r>
    <x v="390"/>
    <x v="390"/>
    <s v="Printer"/>
    <n v="5"/>
    <n v="508.69"/>
    <s v="885 Main St"/>
    <s v="Cash"/>
    <n v="10"/>
    <x v="4"/>
    <n v="2543.4499999999998"/>
  </r>
  <r>
    <x v="391"/>
    <x v="391"/>
    <s v="Laptop"/>
    <n v="2"/>
    <n v="527.46"/>
    <s v="516 Main St"/>
    <s v="Debit Card"/>
    <n v="3"/>
    <x v="1"/>
    <n v="1054.92"/>
  </r>
  <r>
    <x v="392"/>
    <x v="392"/>
    <s v="Phone"/>
    <n v="1"/>
    <n v="627.20000000000005"/>
    <s v="197 Main St"/>
    <s v="Online"/>
    <n v="1"/>
    <x v="2"/>
    <n v="627.20000000000005"/>
  </r>
  <r>
    <x v="393"/>
    <x v="393"/>
    <s v="Printer"/>
    <n v="1"/>
    <n v="75.010000000000005"/>
    <s v="921 Main St"/>
    <s v="Credit Card"/>
    <n v="3"/>
    <x v="4"/>
    <n v="75.010000000000005"/>
  </r>
  <r>
    <x v="394"/>
    <x v="394"/>
    <s v="Desk"/>
    <n v="5"/>
    <n v="529.54999999999995"/>
    <s v="359 Main St"/>
    <s v="Gift Card"/>
    <n v="10"/>
    <x v="3"/>
    <n v="2647.75"/>
  </r>
  <r>
    <x v="395"/>
    <x v="395"/>
    <s v="Phone"/>
    <n v="3"/>
    <n v="127.41"/>
    <s v="830 Main St"/>
    <s v="Gift Card"/>
    <n v="7"/>
    <x v="1"/>
    <n v="382.23"/>
  </r>
  <r>
    <x v="396"/>
    <x v="396"/>
    <s v="Tablet"/>
    <n v="5"/>
    <n v="287.13"/>
    <s v="778 Main St"/>
    <s v="Online"/>
    <n v="10"/>
    <x v="2"/>
    <n v="1435.65"/>
  </r>
  <r>
    <x v="397"/>
    <x v="397"/>
    <s v="Monitor"/>
    <n v="1"/>
    <n v="427.06"/>
    <s v="987 Main St"/>
    <s v="Online"/>
    <n v="1"/>
    <x v="1"/>
    <n v="427.06"/>
  </r>
  <r>
    <x v="398"/>
    <x v="398"/>
    <s v="Phone"/>
    <n v="5"/>
    <n v="53.93"/>
    <s v="729 Main St"/>
    <s v="Gift Card"/>
    <n v="7"/>
    <x v="0"/>
    <n v="269.64999999999998"/>
  </r>
  <r>
    <x v="399"/>
    <x v="399"/>
    <s v="Tablet"/>
    <n v="5"/>
    <n v="423.93"/>
    <s v="319 Main St"/>
    <s v="Debit Card"/>
    <n v="5"/>
    <x v="3"/>
    <n v="2119.65"/>
  </r>
  <r>
    <x v="400"/>
    <x v="400"/>
    <s v="Desk"/>
    <n v="4"/>
    <n v="160.22"/>
    <s v="304 Main St"/>
    <s v="Debit Card"/>
    <n v="9"/>
    <x v="0"/>
    <n v="640.88"/>
  </r>
  <r>
    <x v="401"/>
    <x v="401"/>
    <s v="Printer"/>
    <n v="1"/>
    <n v="538.67999999999995"/>
    <s v="197 Main St"/>
    <s v="Debit Card"/>
    <n v="6"/>
    <x v="1"/>
    <n v="538.67999999999995"/>
  </r>
  <r>
    <x v="402"/>
    <x v="402"/>
    <s v="Printer"/>
    <n v="5"/>
    <n v="337.38"/>
    <s v="858 Main St"/>
    <s v="Gift Card"/>
    <n v="5"/>
    <x v="1"/>
    <n v="1686.9"/>
  </r>
  <r>
    <x v="403"/>
    <x v="403"/>
    <s v="Tablet"/>
    <n v="1"/>
    <n v="620.21"/>
    <s v="740 Main St"/>
    <s v="Online"/>
    <n v="1"/>
    <x v="1"/>
    <n v="620.21"/>
  </r>
  <r>
    <x v="404"/>
    <x v="404"/>
    <s v="Monitor"/>
    <n v="2"/>
    <n v="99.1"/>
    <s v="440 Main St"/>
    <s v="Cash"/>
    <n v="6"/>
    <x v="0"/>
    <n v="198.2"/>
  </r>
  <r>
    <x v="405"/>
    <x v="405"/>
    <s v="Monitor"/>
    <n v="4"/>
    <n v="451.97"/>
    <s v="603 Main St"/>
    <s v="Online"/>
    <n v="7"/>
    <x v="2"/>
    <n v="1807.88"/>
  </r>
  <r>
    <x v="406"/>
    <x v="406"/>
    <s v="Tablet"/>
    <n v="4"/>
    <n v="66.099999999999994"/>
    <s v="572 Main St"/>
    <s v="Cash"/>
    <n v="9"/>
    <x v="4"/>
    <n v="264.39999999999998"/>
  </r>
  <r>
    <x v="407"/>
    <x v="407"/>
    <s v="Tablet"/>
    <n v="4"/>
    <n v="547.32000000000005"/>
    <s v="250 Main St"/>
    <s v="Cash"/>
    <n v="8"/>
    <x v="0"/>
    <n v="2189.2800000000002"/>
  </r>
  <r>
    <x v="408"/>
    <x v="408"/>
    <s v="Printer"/>
    <n v="3"/>
    <n v="412.53"/>
    <s v="536 Main St"/>
    <s v="Online"/>
    <n v="6"/>
    <x v="4"/>
    <n v="1237.5899999999999"/>
  </r>
  <r>
    <x v="409"/>
    <x v="409"/>
    <s v="Desk"/>
    <n v="5"/>
    <n v="84.13"/>
    <s v="767 Main St"/>
    <s v="Online"/>
    <n v="9"/>
    <x v="4"/>
    <n v="420.65"/>
  </r>
  <r>
    <x v="410"/>
    <x v="410"/>
    <s v="Tablet"/>
    <n v="2"/>
    <n v="518.23"/>
    <s v="184 Main St"/>
    <s v="Debit Card"/>
    <n v="5"/>
    <x v="2"/>
    <n v="1036.46"/>
  </r>
  <r>
    <x v="411"/>
    <x v="411"/>
    <s v="Desk"/>
    <n v="2"/>
    <n v="39.51"/>
    <s v="981 Main St"/>
    <s v="Online"/>
    <n v="5"/>
    <x v="3"/>
    <n v="79.02"/>
  </r>
  <r>
    <x v="412"/>
    <x v="412"/>
    <s v="Tablet"/>
    <n v="5"/>
    <n v="133.01"/>
    <s v="246 Main St"/>
    <s v="Credit Card"/>
    <n v="10"/>
    <x v="3"/>
    <n v="665.05"/>
  </r>
  <r>
    <x v="413"/>
    <x v="413"/>
    <s v="Tablet"/>
    <n v="1"/>
    <n v="118.8"/>
    <s v="123 Main St"/>
    <s v="Online"/>
    <n v="6"/>
    <x v="2"/>
    <n v="118.8"/>
  </r>
  <r>
    <x v="414"/>
    <x v="414"/>
    <s v="Desk"/>
    <n v="2"/>
    <n v="139.57"/>
    <s v="797 Main St"/>
    <s v="Cash"/>
    <n v="4"/>
    <x v="3"/>
    <n v="279.14"/>
  </r>
  <r>
    <x v="415"/>
    <x v="415"/>
    <s v="Chair"/>
    <n v="1"/>
    <n v="184.15"/>
    <s v="655 Main St"/>
    <s v="Gift Card"/>
    <n v="5"/>
    <x v="3"/>
    <n v="184.15"/>
  </r>
  <r>
    <x v="416"/>
    <x v="416"/>
    <s v="Laptop"/>
    <n v="2"/>
    <n v="644.04999999999995"/>
    <s v="652 Main St"/>
    <s v="Gift Card"/>
    <n v="5"/>
    <x v="1"/>
    <n v="1288.0999999999999"/>
  </r>
  <r>
    <x v="417"/>
    <x v="417"/>
    <s v="Laptop"/>
    <n v="5"/>
    <n v="55.41"/>
    <s v="954 Main St"/>
    <s v="Online"/>
    <n v="5"/>
    <x v="4"/>
    <n v="277.05"/>
  </r>
  <r>
    <x v="418"/>
    <x v="418"/>
    <s v="Printer"/>
    <n v="1"/>
    <n v="310.93"/>
    <s v="862 Main St"/>
    <s v="Online"/>
    <n v="3"/>
    <x v="3"/>
    <n v="310.93"/>
  </r>
  <r>
    <x v="419"/>
    <x v="419"/>
    <s v="Tablet"/>
    <n v="2"/>
    <n v="216.66"/>
    <s v="885 Main St"/>
    <s v="Debit Card"/>
    <n v="6"/>
    <x v="0"/>
    <n v="433.32"/>
  </r>
  <r>
    <x v="420"/>
    <x v="420"/>
    <s v="Phone"/>
    <n v="1"/>
    <n v="452.7"/>
    <s v="439 Main St"/>
    <s v="Debit Card"/>
    <n v="5"/>
    <x v="0"/>
    <n v="452.7"/>
  </r>
  <r>
    <x v="421"/>
    <x v="421"/>
    <s v="Chair"/>
    <n v="2"/>
    <n v="288.20999999999998"/>
    <s v="769 Main St"/>
    <s v="Debit Card"/>
    <n v="5"/>
    <x v="2"/>
    <n v="576.41999999999996"/>
  </r>
  <r>
    <x v="422"/>
    <x v="422"/>
    <s v="Phone"/>
    <n v="4"/>
    <n v="206.6"/>
    <s v="914 Main St"/>
    <s v="Gift Card"/>
    <n v="6"/>
    <x v="1"/>
    <n v="826.4"/>
  </r>
  <r>
    <x v="423"/>
    <x v="423"/>
    <s v="Printer"/>
    <n v="4"/>
    <n v="685.2"/>
    <s v="195 Main St"/>
    <s v="Gift Card"/>
    <n v="6"/>
    <x v="4"/>
    <n v="2740.8"/>
  </r>
  <r>
    <x v="424"/>
    <x v="424"/>
    <s v="Chair"/>
    <n v="5"/>
    <n v="22.94"/>
    <s v="339 Main St"/>
    <s v="Cash"/>
    <n v="10"/>
    <x v="2"/>
    <n v="114.7"/>
  </r>
  <r>
    <x v="425"/>
    <x v="425"/>
    <s v="Laptop"/>
    <n v="2"/>
    <n v="301.88"/>
    <s v="488 Main St"/>
    <s v="Gift Card"/>
    <n v="5"/>
    <x v="2"/>
    <n v="603.76"/>
  </r>
  <r>
    <x v="426"/>
    <x v="426"/>
    <s v="Monitor"/>
    <n v="5"/>
    <n v="57.45"/>
    <s v="315 Main St"/>
    <s v="Cash"/>
    <n v="10"/>
    <x v="3"/>
    <n v="287.25"/>
  </r>
  <r>
    <x v="427"/>
    <x v="427"/>
    <s v="Desk"/>
    <n v="1"/>
    <n v="161.24"/>
    <s v="379 Main St"/>
    <s v="Credit Card"/>
    <n v="3"/>
    <x v="0"/>
    <n v="161.24"/>
  </r>
  <r>
    <x v="428"/>
    <x v="428"/>
    <s v="Chair"/>
    <n v="4"/>
    <n v="262.58"/>
    <s v="895 Main St"/>
    <s v="Online"/>
    <n v="8"/>
    <x v="2"/>
    <n v="1050.32"/>
  </r>
  <r>
    <x v="429"/>
    <x v="429"/>
    <s v="Printer"/>
    <n v="4"/>
    <n v="515.19000000000005"/>
    <s v="522 Main St"/>
    <s v="Credit Card"/>
    <n v="9"/>
    <x v="3"/>
    <n v="2060.7600000000002"/>
  </r>
  <r>
    <x v="430"/>
    <x v="430"/>
    <s v="Phone"/>
    <n v="1"/>
    <n v="450.07"/>
    <s v="433 Main St"/>
    <s v="Gift Card"/>
    <n v="6"/>
    <x v="4"/>
    <n v="450.07"/>
  </r>
  <r>
    <x v="431"/>
    <x v="431"/>
    <s v="Printer"/>
    <n v="1"/>
    <n v="52.54"/>
    <s v="651 Main St"/>
    <s v="Debit Card"/>
    <n v="6"/>
    <x v="3"/>
    <n v="52.54"/>
  </r>
  <r>
    <x v="432"/>
    <x v="432"/>
    <s v="Tablet"/>
    <n v="2"/>
    <n v="424.32"/>
    <s v="662 Main St"/>
    <s v="Credit Card"/>
    <n v="6"/>
    <x v="1"/>
    <n v="848.64"/>
  </r>
  <r>
    <x v="433"/>
    <x v="433"/>
    <s v="Monitor"/>
    <n v="3"/>
    <n v="631.64"/>
    <s v="785 Main St"/>
    <s v="Credit Card"/>
    <n v="3"/>
    <x v="3"/>
    <n v="1894.92"/>
  </r>
  <r>
    <x v="434"/>
    <x v="434"/>
    <s v="Printer"/>
    <n v="5"/>
    <n v="327.68"/>
    <s v="384 Main St"/>
    <s v="Credit Card"/>
    <n v="6"/>
    <x v="3"/>
    <n v="1638.4"/>
  </r>
  <r>
    <x v="435"/>
    <x v="435"/>
    <s v="Printer"/>
    <n v="1"/>
    <n v="414.47"/>
    <s v="101 Main St"/>
    <s v="Debit Card"/>
    <n v="3"/>
    <x v="0"/>
    <n v="414.47"/>
  </r>
  <r>
    <x v="436"/>
    <x v="436"/>
    <s v="Laptop"/>
    <n v="4"/>
    <n v="221.33"/>
    <s v="651 Main St"/>
    <s v="Online"/>
    <n v="5"/>
    <x v="4"/>
    <n v="885.32"/>
  </r>
  <r>
    <x v="437"/>
    <x v="437"/>
    <s v="Phone"/>
    <n v="1"/>
    <n v="512.39"/>
    <s v="955 Main St"/>
    <s v="Online"/>
    <n v="2"/>
    <x v="0"/>
    <n v="512.39"/>
  </r>
  <r>
    <x v="438"/>
    <x v="438"/>
    <s v="Tablet"/>
    <n v="3"/>
    <n v="459.34"/>
    <s v="436 Main St"/>
    <s v="Gift Card"/>
    <n v="3"/>
    <x v="0"/>
    <n v="1378.02"/>
  </r>
  <r>
    <x v="439"/>
    <x v="439"/>
    <s v="Tablet"/>
    <n v="1"/>
    <n v="146.32"/>
    <s v="321 Main St"/>
    <s v="Online"/>
    <n v="4"/>
    <x v="3"/>
    <n v="146.32"/>
  </r>
  <r>
    <x v="440"/>
    <x v="440"/>
    <s v="Desk"/>
    <n v="4"/>
    <n v="83.6"/>
    <s v="978 Main St"/>
    <s v="Debit Card"/>
    <n v="4"/>
    <x v="3"/>
    <n v="334.4"/>
  </r>
  <r>
    <x v="441"/>
    <x v="441"/>
    <s v="Printer"/>
    <n v="2"/>
    <n v="328.54"/>
    <s v="475 Main St"/>
    <s v="Gift Card"/>
    <n v="6"/>
    <x v="2"/>
    <n v="657.08"/>
  </r>
  <r>
    <x v="442"/>
    <x v="442"/>
    <s v="Chair"/>
    <n v="5"/>
    <n v="314.94"/>
    <s v="661 Main St"/>
    <s v="Cash"/>
    <n v="8"/>
    <x v="0"/>
    <n v="1574.7"/>
  </r>
  <r>
    <x v="443"/>
    <x v="443"/>
    <s v="Chair"/>
    <n v="2"/>
    <n v="69.64"/>
    <s v="813 Main St"/>
    <s v="Cash"/>
    <n v="6"/>
    <x v="3"/>
    <n v="139.28"/>
  </r>
  <r>
    <x v="444"/>
    <x v="444"/>
    <s v="Printer"/>
    <n v="1"/>
    <n v="135.16999999999999"/>
    <s v="585 Main St"/>
    <s v="Online"/>
    <n v="6"/>
    <x v="0"/>
    <n v="135.16999999999999"/>
  </r>
  <r>
    <x v="445"/>
    <x v="445"/>
    <s v="Phone"/>
    <n v="1"/>
    <n v="487.21"/>
    <s v="227 Main St"/>
    <s v="Cash"/>
    <n v="3"/>
    <x v="1"/>
    <n v="487.21"/>
  </r>
  <r>
    <x v="446"/>
    <x v="446"/>
    <s v="Laptop"/>
    <n v="5"/>
    <n v="509.58"/>
    <s v="262 Main St"/>
    <s v="Online"/>
    <n v="6"/>
    <x v="0"/>
    <n v="2547.9"/>
  </r>
  <r>
    <x v="447"/>
    <x v="447"/>
    <s v="Printer"/>
    <n v="2"/>
    <n v="416.81"/>
    <s v="356 Main St"/>
    <s v="Cash"/>
    <n v="2"/>
    <x v="3"/>
    <n v="833.62"/>
  </r>
  <r>
    <x v="448"/>
    <x v="448"/>
    <s v="Laptop"/>
    <n v="2"/>
    <n v="160"/>
    <s v="854 Main St"/>
    <s v="Cash"/>
    <n v="4"/>
    <x v="0"/>
    <n v="320"/>
  </r>
  <r>
    <x v="449"/>
    <x v="449"/>
    <s v="Tablet"/>
    <n v="3"/>
    <n v="253.05"/>
    <s v="286 Main St"/>
    <s v="Online"/>
    <n v="3"/>
    <x v="0"/>
    <n v="759.15000000000009"/>
  </r>
  <r>
    <x v="450"/>
    <x v="450"/>
    <s v="Monitor"/>
    <n v="5"/>
    <n v="615.1"/>
    <s v="160 Main St"/>
    <s v="Gift Card"/>
    <n v="10"/>
    <x v="0"/>
    <n v="3075.5"/>
  </r>
  <r>
    <x v="451"/>
    <x v="451"/>
    <s v="Monitor"/>
    <n v="1"/>
    <n v="183.18"/>
    <s v="647 Main St"/>
    <s v="Debit Card"/>
    <n v="6"/>
    <x v="2"/>
    <n v="183.18"/>
  </r>
  <r>
    <x v="452"/>
    <x v="452"/>
    <s v="Printer"/>
    <n v="1"/>
    <n v="75.78"/>
    <s v="581 Main St"/>
    <s v="Cash"/>
    <n v="5"/>
    <x v="4"/>
    <n v="75.78"/>
  </r>
  <r>
    <x v="453"/>
    <x v="453"/>
    <s v="Tablet"/>
    <n v="1"/>
    <n v="675.57"/>
    <s v="492 Main St"/>
    <s v="Cash"/>
    <n v="1"/>
    <x v="3"/>
    <n v="675.57"/>
  </r>
  <r>
    <x v="454"/>
    <x v="454"/>
    <s v="Laptop"/>
    <n v="1"/>
    <n v="109.29"/>
    <s v="686 Main St"/>
    <s v="Debit Card"/>
    <n v="5"/>
    <x v="4"/>
    <n v="109.29"/>
  </r>
  <r>
    <x v="455"/>
    <x v="455"/>
    <s v="Phone"/>
    <n v="1"/>
    <n v="639.83000000000004"/>
    <s v="874 Main St"/>
    <s v="Debit Card"/>
    <n v="2"/>
    <x v="1"/>
    <n v="639.83000000000004"/>
  </r>
  <r>
    <x v="456"/>
    <x v="456"/>
    <s v="Desk"/>
    <n v="5"/>
    <n v="62.81"/>
    <s v="259 Main St"/>
    <s v="Credit Card"/>
    <n v="9"/>
    <x v="3"/>
    <n v="314.05"/>
  </r>
  <r>
    <x v="457"/>
    <x v="457"/>
    <s v="Desk"/>
    <n v="4"/>
    <n v="615.83000000000004"/>
    <s v="545 Main St"/>
    <s v="Online"/>
    <n v="4"/>
    <x v="0"/>
    <n v="2463.3200000000002"/>
  </r>
  <r>
    <x v="458"/>
    <x v="458"/>
    <s v="Monitor"/>
    <n v="4"/>
    <n v="510.58"/>
    <s v="196 Main St"/>
    <s v="Credit Card"/>
    <n v="7"/>
    <x v="2"/>
    <n v="2042.32"/>
  </r>
  <r>
    <x v="459"/>
    <x v="459"/>
    <s v="Desk"/>
    <n v="1"/>
    <n v="334.39"/>
    <s v="433 Main St"/>
    <s v="Credit Card"/>
    <n v="2"/>
    <x v="0"/>
    <n v="334.39"/>
  </r>
  <r>
    <x v="460"/>
    <x v="460"/>
    <s v="Laptop"/>
    <n v="1"/>
    <n v="144.25"/>
    <s v="474 Main St"/>
    <s v="Cash"/>
    <n v="2"/>
    <x v="1"/>
    <n v="144.25"/>
  </r>
  <r>
    <x v="461"/>
    <x v="461"/>
    <s v="Tablet"/>
    <n v="1"/>
    <n v="401.82"/>
    <s v="407 Main St"/>
    <s v="Credit Card"/>
    <n v="5"/>
    <x v="4"/>
    <n v="401.82"/>
  </r>
  <r>
    <x v="462"/>
    <x v="462"/>
    <s v="Phone"/>
    <n v="1"/>
    <n v="252.68"/>
    <s v="731 Main St"/>
    <s v="Online"/>
    <n v="1"/>
    <x v="1"/>
    <n v="252.68"/>
  </r>
  <r>
    <x v="463"/>
    <x v="463"/>
    <s v="Laptop"/>
    <n v="5"/>
    <n v="662.78"/>
    <s v="214 Main St"/>
    <s v="Debit Card"/>
    <n v="9"/>
    <x v="0"/>
    <n v="3313.9"/>
  </r>
  <r>
    <x v="464"/>
    <x v="464"/>
    <s v="Tablet"/>
    <n v="4"/>
    <n v="434.42"/>
    <s v="739 Main St"/>
    <s v="Online"/>
    <n v="6"/>
    <x v="4"/>
    <n v="1737.68"/>
  </r>
  <r>
    <x v="465"/>
    <x v="465"/>
    <s v="Printer"/>
    <n v="5"/>
    <n v="513.49"/>
    <s v="391 Main St"/>
    <s v="Gift Card"/>
    <n v="8"/>
    <x v="4"/>
    <n v="2567.4499999999998"/>
  </r>
  <r>
    <x v="466"/>
    <x v="466"/>
    <s v="Phone"/>
    <n v="1"/>
    <n v="432.47"/>
    <s v="895 Main St"/>
    <s v="Cash"/>
    <n v="4"/>
    <x v="1"/>
    <n v="432.47"/>
  </r>
  <r>
    <x v="467"/>
    <x v="467"/>
    <s v="Desk"/>
    <n v="1"/>
    <n v="45.94"/>
    <s v="572 Main St"/>
    <s v="Cash"/>
    <n v="2"/>
    <x v="2"/>
    <n v="45.94"/>
  </r>
  <r>
    <x v="468"/>
    <x v="468"/>
    <s v="Phone"/>
    <n v="1"/>
    <n v="418.36"/>
    <s v="998 Main St"/>
    <s v="Credit Card"/>
    <n v="5"/>
    <x v="2"/>
    <n v="418.36"/>
  </r>
  <r>
    <x v="469"/>
    <x v="469"/>
    <s v="Chair"/>
    <n v="5"/>
    <n v="676.98"/>
    <s v="893 Main St"/>
    <s v="Cash"/>
    <n v="5"/>
    <x v="3"/>
    <n v="3384.9"/>
  </r>
  <r>
    <x v="470"/>
    <x v="470"/>
    <s v="Tablet"/>
    <n v="4"/>
    <n v="263.62"/>
    <s v="672 Main St"/>
    <s v="Cash"/>
    <n v="5"/>
    <x v="2"/>
    <n v="1054.48"/>
  </r>
  <r>
    <x v="471"/>
    <x v="471"/>
    <s v="Desk"/>
    <n v="5"/>
    <n v="551.27"/>
    <s v="395 Main St"/>
    <s v="Online"/>
    <n v="7"/>
    <x v="1"/>
    <n v="2756.35"/>
  </r>
  <r>
    <x v="472"/>
    <x v="472"/>
    <s v="Chair"/>
    <n v="3"/>
    <n v="508.12"/>
    <s v="796 Main St"/>
    <s v="Credit Card"/>
    <n v="8"/>
    <x v="1"/>
    <n v="1524.36"/>
  </r>
  <r>
    <x v="473"/>
    <x v="473"/>
    <s v="Chair"/>
    <n v="2"/>
    <n v="14.93"/>
    <s v="449 Main St"/>
    <s v="Online"/>
    <n v="4"/>
    <x v="3"/>
    <n v="29.86"/>
  </r>
  <r>
    <x v="474"/>
    <x v="474"/>
    <s v="Printer"/>
    <n v="3"/>
    <n v="229.34"/>
    <s v="398 Main St"/>
    <s v="Credit Card"/>
    <n v="6"/>
    <x v="1"/>
    <n v="688.02"/>
  </r>
  <r>
    <x v="475"/>
    <x v="475"/>
    <s v="Tablet"/>
    <n v="2"/>
    <n v="438.62"/>
    <s v="363 Main St"/>
    <s v="Cash"/>
    <n v="3"/>
    <x v="3"/>
    <n v="877.24"/>
  </r>
  <r>
    <x v="476"/>
    <x v="476"/>
    <s v="Phone"/>
    <n v="2"/>
    <n v="513.59"/>
    <s v="867 Main St"/>
    <s v="Online"/>
    <n v="4"/>
    <x v="1"/>
    <n v="1027.18"/>
  </r>
  <r>
    <x v="477"/>
    <x v="477"/>
    <s v="Phone"/>
    <n v="2"/>
    <n v="253.74"/>
    <s v="481 Main St"/>
    <s v="Online"/>
    <n v="5"/>
    <x v="4"/>
    <n v="507.48"/>
  </r>
  <r>
    <x v="478"/>
    <x v="478"/>
    <s v="Tablet"/>
    <n v="3"/>
    <n v="62.77"/>
    <s v="914 Main St"/>
    <s v="Gift Card"/>
    <n v="6"/>
    <x v="1"/>
    <n v="188.31"/>
  </r>
  <r>
    <x v="479"/>
    <x v="479"/>
    <s v="Monitor"/>
    <n v="4"/>
    <n v="25.29"/>
    <s v="943 Main St"/>
    <s v="Credit Card"/>
    <n v="8"/>
    <x v="4"/>
    <n v="101.16"/>
  </r>
  <r>
    <x v="480"/>
    <x v="480"/>
    <s v="Chair"/>
    <n v="1"/>
    <n v="335.1"/>
    <s v="126 Main St"/>
    <s v="Debit Card"/>
    <n v="6"/>
    <x v="1"/>
    <n v="335.1"/>
  </r>
  <r>
    <x v="481"/>
    <x v="481"/>
    <s v="Laptop"/>
    <n v="4"/>
    <n v="484.85"/>
    <s v="317 Main St"/>
    <s v="Debit Card"/>
    <n v="5"/>
    <x v="1"/>
    <n v="1939.4"/>
  </r>
  <r>
    <x v="482"/>
    <x v="482"/>
    <s v="Monitor"/>
    <n v="3"/>
    <n v="381.41"/>
    <s v="989 Main St"/>
    <s v="Online"/>
    <n v="6"/>
    <x v="0"/>
    <n v="1144.23"/>
  </r>
  <r>
    <x v="483"/>
    <x v="483"/>
    <s v="Phone"/>
    <n v="5"/>
    <n v="347.92"/>
    <s v="982 Main St"/>
    <s v="Cash"/>
    <n v="6"/>
    <x v="4"/>
    <n v="1739.6"/>
  </r>
  <r>
    <x v="484"/>
    <x v="484"/>
    <s v="Chair"/>
    <n v="4"/>
    <n v="15.01"/>
    <s v="767 Main St"/>
    <s v="Cash"/>
    <n v="6"/>
    <x v="3"/>
    <n v="60.04"/>
  </r>
  <r>
    <x v="485"/>
    <x v="485"/>
    <s v="Chair"/>
    <n v="3"/>
    <n v="404.79"/>
    <s v="764 Main St"/>
    <s v="Cash"/>
    <n v="6"/>
    <x v="0"/>
    <n v="1214.3699999999999"/>
  </r>
  <r>
    <x v="486"/>
    <x v="486"/>
    <s v="Printer"/>
    <n v="4"/>
    <n v="611.26"/>
    <s v="558 Main St"/>
    <s v="Cash"/>
    <n v="5"/>
    <x v="1"/>
    <n v="2445.04"/>
  </r>
  <r>
    <x v="487"/>
    <x v="487"/>
    <s v="Printer"/>
    <n v="3"/>
    <n v="346.52"/>
    <s v="211 Main St"/>
    <s v="Credit Card"/>
    <n v="3"/>
    <x v="4"/>
    <n v="1039.56"/>
  </r>
  <r>
    <x v="488"/>
    <x v="488"/>
    <s v="Chair"/>
    <n v="1"/>
    <n v="36.65"/>
    <s v="556 Main St"/>
    <s v="Online"/>
    <n v="1"/>
    <x v="2"/>
    <n v="36.65"/>
  </r>
  <r>
    <x v="489"/>
    <x v="489"/>
    <s v="Tablet"/>
    <n v="3"/>
    <n v="149.34"/>
    <s v="589 Main St"/>
    <s v="Gift Card"/>
    <n v="7"/>
    <x v="2"/>
    <n v="448.02"/>
  </r>
  <r>
    <x v="490"/>
    <x v="490"/>
    <s v="Chair"/>
    <n v="5"/>
    <n v="467.81"/>
    <s v="539 Main St"/>
    <s v="Online"/>
    <n v="10"/>
    <x v="3"/>
    <n v="2339.0500000000002"/>
  </r>
  <r>
    <x v="491"/>
    <x v="491"/>
    <s v="Phone"/>
    <n v="5"/>
    <n v="420.7"/>
    <s v="481 Main St"/>
    <s v="Cash"/>
    <n v="5"/>
    <x v="3"/>
    <n v="2103.5"/>
  </r>
  <r>
    <x v="492"/>
    <x v="492"/>
    <s v="Laptop"/>
    <n v="5"/>
    <n v="606.52"/>
    <s v="103 Main St"/>
    <s v="Debit Card"/>
    <n v="6"/>
    <x v="0"/>
    <n v="3032.6"/>
  </r>
  <r>
    <x v="493"/>
    <x v="493"/>
    <s v="Phone"/>
    <n v="1"/>
    <n v="420.26"/>
    <s v="372 Main St"/>
    <s v="Credit Card"/>
    <n v="4"/>
    <x v="3"/>
    <n v="420.26"/>
  </r>
  <r>
    <x v="494"/>
    <x v="494"/>
    <s v="Laptop"/>
    <n v="3"/>
    <n v="505.79"/>
    <s v="459 Main St"/>
    <s v="Debit Card"/>
    <n v="3"/>
    <x v="1"/>
    <n v="1517.37"/>
  </r>
  <r>
    <x v="495"/>
    <x v="495"/>
    <s v="Phone"/>
    <n v="4"/>
    <n v="493.73"/>
    <s v="947 Main St"/>
    <s v="Debit Card"/>
    <n v="6"/>
    <x v="3"/>
    <n v="1974.92"/>
  </r>
  <r>
    <x v="496"/>
    <x v="496"/>
    <s v="Printer"/>
    <n v="3"/>
    <n v="201.21"/>
    <s v="249 Main St"/>
    <s v="Online"/>
    <n v="3"/>
    <x v="4"/>
    <n v="603.63"/>
  </r>
  <r>
    <x v="497"/>
    <x v="497"/>
    <s v="Printer"/>
    <n v="3"/>
    <n v="112.29"/>
    <s v="454 Main St"/>
    <s v="Gift Card"/>
    <n v="6"/>
    <x v="4"/>
    <n v="336.87"/>
  </r>
  <r>
    <x v="498"/>
    <x v="498"/>
    <s v="Tablet"/>
    <n v="4"/>
    <n v="132.56"/>
    <s v="306 Main St"/>
    <s v="Cash"/>
    <n v="8"/>
    <x v="0"/>
    <n v="530.24"/>
  </r>
  <r>
    <x v="499"/>
    <x v="499"/>
    <s v="Printer"/>
    <n v="3"/>
    <n v="539.46"/>
    <s v="520 Main St"/>
    <s v="Credit Card"/>
    <n v="4"/>
    <x v="3"/>
    <n v="1618.38"/>
  </r>
  <r>
    <x v="500"/>
    <x v="500"/>
    <s v="Laptop"/>
    <n v="5"/>
    <n v="508.59"/>
    <s v="169 Main St"/>
    <s v="Cash"/>
    <n v="8"/>
    <x v="3"/>
    <n v="2542.9499999999998"/>
  </r>
  <r>
    <x v="501"/>
    <x v="501"/>
    <s v="Desk"/>
    <n v="4"/>
    <n v="203.46"/>
    <s v="226 Main St"/>
    <s v="Credit Card"/>
    <n v="7"/>
    <x v="1"/>
    <n v="813.84"/>
  </r>
  <r>
    <x v="502"/>
    <x v="502"/>
    <s v="Monitor"/>
    <n v="3"/>
    <n v="565.25"/>
    <s v="745 Main St"/>
    <s v="Debit Card"/>
    <n v="7"/>
    <x v="2"/>
    <n v="1695.75"/>
  </r>
  <r>
    <x v="503"/>
    <x v="503"/>
    <s v="Tablet"/>
    <n v="3"/>
    <n v="136.84"/>
    <s v="498 Main St"/>
    <s v="Online"/>
    <n v="4"/>
    <x v="3"/>
    <n v="410.52"/>
  </r>
  <r>
    <x v="504"/>
    <x v="504"/>
    <s v="Monitor"/>
    <n v="2"/>
    <n v="464.5"/>
    <s v="805 Main St"/>
    <s v="Online"/>
    <n v="2"/>
    <x v="0"/>
    <n v="929"/>
  </r>
  <r>
    <x v="505"/>
    <x v="505"/>
    <s v="Printer"/>
    <n v="2"/>
    <n v="434.97"/>
    <s v="558 Main St"/>
    <s v="Online"/>
    <n v="7"/>
    <x v="2"/>
    <n v="869.94"/>
  </r>
  <r>
    <x v="506"/>
    <x v="506"/>
    <s v="Monitor"/>
    <n v="2"/>
    <n v="43.67"/>
    <s v="696 Main St"/>
    <s v="Cash"/>
    <n v="4"/>
    <x v="0"/>
    <n v="87.34"/>
  </r>
  <r>
    <x v="507"/>
    <x v="507"/>
    <s v="Phone"/>
    <n v="1"/>
    <n v="171.59"/>
    <s v="546 Main St"/>
    <s v="Credit Card"/>
    <n v="5"/>
    <x v="2"/>
    <n v="171.59"/>
  </r>
  <r>
    <x v="508"/>
    <x v="508"/>
    <s v="Phone"/>
    <n v="1"/>
    <n v="558.27"/>
    <s v="976 Main St"/>
    <s v="Online"/>
    <n v="1"/>
    <x v="1"/>
    <n v="558.27"/>
  </r>
  <r>
    <x v="509"/>
    <x v="509"/>
    <s v="Laptop"/>
    <n v="2"/>
    <n v="425.03"/>
    <s v="560 Main St"/>
    <s v="Cash"/>
    <n v="2"/>
    <x v="4"/>
    <n v="850.06"/>
  </r>
  <r>
    <x v="510"/>
    <x v="510"/>
    <s v="Printer"/>
    <n v="1"/>
    <n v="376.76"/>
    <s v="389 Main St"/>
    <s v="Debit Card"/>
    <n v="5"/>
    <x v="2"/>
    <n v="376.76"/>
  </r>
  <r>
    <x v="511"/>
    <x v="511"/>
    <s v="Monitor"/>
    <n v="5"/>
    <n v="575.24"/>
    <s v="267 Main St"/>
    <s v="Cash"/>
    <n v="7"/>
    <x v="2"/>
    <n v="2876.2"/>
  </r>
  <r>
    <x v="512"/>
    <x v="512"/>
    <s v="Desk"/>
    <n v="3"/>
    <n v="568.02"/>
    <s v="856 Main St"/>
    <s v="Online"/>
    <n v="3"/>
    <x v="0"/>
    <n v="1704.06"/>
  </r>
  <r>
    <x v="513"/>
    <x v="513"/>
    <s v="Tablet"/>
    <n v="3"/>
    <n v="94.88"/>
    <s v="533 Main St"/>
    <s v="Gift Card"/>
    <n v="8"/>
    <x v="1"/>
    <n v="284.64"/>
  </r>
  <r>
    <x v="514"/>
    <x v="514"/>
    <s v="Printer"/>
    <n v="3"/>
    <n v="304.14999999999998"/>
    <s v="492 Main St"/>
    <s v="Gift Card"/>
    <n v="3"/>
    <x v="0"/>
    <n v="912.44999999999993"/>
  </r>
  <r>
    <x v="515"/>
    <x v="515"/>
    <s v="Phone"/>
    <n v="3"/>
    <n v="553.52"/>
    <s v="160 Main St"/>
    <s v="Gift Card"/>
    <n v="4"/>
    <x v="3"/>
    <n v="1660.56"/>
  </r>
  <r>
    <x v="516"/>
    <x v="516"/>
    <s v="Monitor"/>
    <n v="3"/>
    <n v="166.99"/>
    <s v="208 Main St"/>
    <s v="Cash"/>
    <n v="8"/>
    <x v="3"/>
    <n v="500.97"/>
  </r>
  <r>
    <x v="517"/>
    <x v="517"/>
    <s v="Tablet"/>
    <n v="4"/>
    <n v="198.35"/>
    <s v="943 Main St"/>
    <s v="Cash"/>
    <n v="7"/>
    <x v="4"/>
    <n v="793.4"/>
  </r>
  <r>
    <x v="518"/>
    <x v="518"/>
    <s v="Printer"/>
    <n v="4"/>
    <n v="403.58"/>
    <s v="319 Main St"/>
    <s v="Online"/>
    <n v="9"/>
    <x v="1"/>
    <n v="1614.32"/>
  </r>
  <r>
    <x v="519"/>
    <x v="519"/>
    <s v="Laptop"/>
    <n v="4"/>
    <n v="464.29"/>
    <s v="941 Main St"/>
    <s v="Debit Card"/>
    <n v="5"/>
    <x v="2"/>
    <n v="1857.16"/>
  </r>
  <r>
    <x v="520"/>
    <x v="520"/>
    <s v="Monitor"/>
    <n v="3"/>
    <n v="635.98"/>
    <s v="959 Main St"/>
    <s v="Cash"/>
    <n v="5"/>
    <x v="1"/>
    <n v="1907.94"/>
  </r>
  <r>
    <x v="521"/>
    <x v="521"/>
    <s v="Phone"/>
    <n v="1"/>
    <n v="528.05999999999995"/>
    <s v="991 Main St"/>
    <s v="Credit Card"/>
    <n v="2"/>
    <x v="3"/>
    <n v="528.05999999999995"/>
  </r>
  <r>
    <x v="522"/>
    <x v="522"/>
    <s v="Chair"/>
    <n v="1"/>
    <n v="515.32000000000005"/>
    <s v="740 Main St"/>
    <s v="Gift Card"/>
    <n v="1"/>
    <x v="2"/>
    <n v="515.32000000000005"/>
  </r>
  <r>
    <x v="523"/>
    <x v="523"/>
    <s v="Desk"/>
    <n v="4"/>
    <n v="657.79"/>
    <s v="652 Main St"/>
    <s v="Credit Card"/>
    <n v="6"/>
    <x v="4"/>
    <n v="2631.16"/>
  </r>
  <r>
    <x v="524"/>
    <x v="524"/>
    <s v="Phone"/>
    <n v="1"/>
    <n v="153"/>
    <s v="103 Main St"/>
    <s v="Credit Card"/>
    <n v="4"/>
    <x v="1"/>
    <n v="153"/>
  </r>
  <r>
    <x v="525"/>
    <x v="525"/>
    <s v="Monitor"/>
    <n v="1"/>
    <n v="668.48"/>
    <s v="160 Main St"/>
    <s v="Debit Card"/>
    <n v="1"/>
    <x v="2"/>
    <n v="668.48"/>
  </r>
  <r>
    <x v="526"/>
    <x v="526"/>
    <s v="Desk"/>
    <n v="2"/>
    <n v="46.5"/>
    <s v="837 Main St"/>
    <s v="Cash"/>
    <n v="7"/>
    <x v="4"/>
    <n v="93"/>
  </r>
  <r>
    <x v="527"/>
    <x v="527"/>
    <s v="Chair"/>
    <n v="5"/>
    <n v="653.47"/>
    <s v="967 Main St"/>
    <s v="Credit Card"/>
    <n v="10"/>
    <x v="1"/>
    <n v="3267.35"/>
  </r>
  <r>
    <x v="528"/>
    <x v="528"/>
    <s v="Chair"/>
    <n v="1"/>
    <n v="628.89"/>
    <s v="686 Main St"/>
    <s v="Credit Card"/>
    <n v="2"/>
    <x v="1"/>
    <n v="628.89"/>
  </r>
  <r>
    <x v="529"/>
    <x v="529"/>
    <s v="Tablet"/>
    <n v="2"/>
    <n v="675.1"/>
    <s v="938 Main St"/>
    <s v="Cash"/>
    <n v="4"/>
    <x v="4"/>
    <n v="1350.2"/>
  </r>
  <r>
    <x v="530"/>
    <x v="530"/>
    <s v="Chair"/>
    <n v="4"/>
    <n v="89.41"/>
    <s v="613 Main St"/>
    <s v="Online"/>
    <n v="9"/>
    <x v="4"/>
    <n v="357.64"/>
  </r>
  <r>
    <x v="531"/>
    <x v="531"/>
    <s v="Desk"/>
    <n v="5"/>
    <n v="320.01"/>
    <s v="722 Main St"/>
    <s v="Gift Card"/>
    <n v="6"/>
    <x v="1"/>
    <n v="1600.05"/>
  </r>
  <r>
    <x v="532"/>
    <x v="532"/>
    <s v="Laptop"/>
    <n v="2"/>
    <n v="41"/>
    <s v="369 Main St"/>
    <s v="Online"/>
    <n v="7"/>
    <x v="2"/>
    <n v="82"/>
  </r>
  <r>
    <x v="533"/>
    <x v="533"/>
    <s v="Desk"/>
    <n v="1"/>
    <n v="565.85"/>
    <s v="715 Main St"/>
    <s v="Gift Card"/>
    <n v="1"/>
    <x v="3"/>
    <n v="565.85"/>
  </r>
  <r>
    <x v="534"/>
    <x v="534"/>
    <s v="Chair"/>
    <n v="3"/>
    <n v="648.59"/>
    <s v="906 Main St"/>
    <s v="Debit Card"/>
    <n v="4"/>
    <x v="2"/>
    <n v="1945.77"/>
  </r>
  <r>
    <x v="535"/>
    <x v="535"/>
    <s v="Monitor"/>
    <n v="3"/>
    <n v="68.12"/>
    <s v="332 Main St"/>
    <s v="Online"/>
    <n v="3"/>
    <x v="2"/>
    <n v="204.36"/>
  </r>
  <r>
    <x v="536"/>
    <x v="536"/>
    <s v="Chair"/>
    <n v="1"/>
    <n v="616.1"/>
    <s v="124 Main St"/>
    <s v="Cash"/>
    <n v="6"/>
    <x v="2"/>
    <n v="616.1"/>
  </r>
  <r>
    <x v="537"/>
    <x v="537"/>
    <s v="Tablet"/>
    <n v="3"/>
    <n v="247.47"/>
    <s v="385 Main St"/>
    <s v="Online"/>
    <n v="4"/>
    <x v="3"/>
    <n v="742.41"/>
  </r>
  <r>
    <x v="538"/>
    <x v="538"/>
    <s v="Phone"/>
    <n v="3"/>
    <n v="490.74"/>
    <s v="100 Main St"/>
    <s v="Cash"/>
    <n v="3"/>
    <x v="2"/>
    <n v="1472.22"/>
  </r>
  <r>
    <x v="539"/>
    <x v="539"/>
    <s v="Desk"/>
    <n v="3"/>
    <n v="531.72"/>
    <s v="473 Main St"/>
    <s v="Gift Card"/>
    <n v="7"/>
    <x v="4"/>
    <n v="1595.16"/>
  </r>
  <r>
    <x v="540"/>
    <x v="540"/>
    <s v="Laptop"/>
    <n v="5"/>
    <n v="648.65"/>
    <s v="852 Main St"/>
    <s v="Online"/>
    <n v="7"/>
    <x v="1"/>
    <n v="3243.25"/>
  </r>
  <r>
    <x v="541"/>
    <x v="541"/>
    <s v="Printer"/>
    <n v="5"/>
    <n v="456.06"/>
    <s v="879 Main St"/>
    <s v="Cash"/>
    <n v="10"/>
    <x v="0"/>
    <n v="2280.3000000000002"/>
  </r>
  <r>
    <x v="542"/>
    <x v="542"/>
    <s v="Tablet"/>
    <n v="1"/>
    <n v="17.98"/>
    <s v="934 Main St"/>
    <s v="Cash"/>
    <n v="6"/>
    <x v="2"/>
    <n v="17.98"/>
  </r>
  <r>
    <x v="543"/>
    <x v="543"/>
    <s v="Desk"/>
    <n v="5"/>
    <n v="269.86"/>
    <s v="354 Main St"/>
    <s v="Cash"/>
    <n v="6"/>
    <x v="3"/>
    <n v="1349.3"/>
  </r>
  <r>
    <x v="544"/>
    <x v="544"/>
    <s v="Printer"/>
    <n v="5"/>
    <n v="31.96"/>
    <s v="373 Main St"/>
    <s v="Credit Card"/>
    <n v="5"/>
    <x v="1"/>
    <n v="159.80000000000001"/>
  </r>
  <r>
    <x v="545"/>
    <x v="545"/>
    <s v="Monitor"/>
    <n v="2"/>
    <n v="98.47"/>
    <s v="964 Main St"/>
    <s v="Cash"/>
    <n v="3"/>
    <x v="0"/>
    <n v="196.94"/>
  </r>
  <r>
    <x v="546"/>
    <x v="546"/>
    <s v="Monitor"/>
    <n v="1"/>
    <n v="158.68"/>
    <s v="928 Main St"/>
    <s v="Credit Card"/>
    <n v="6"/>
    <x v="0"/>
    <n v="158.68"/>
  </r>
  <r>
    <x v="547"/>
    <x v="547"/>
    <s v="Phone"/>
    <n v="1"/>
    <n v="613.98"/>
    <s v="411 Main St"/>
    <s v="Online"/>
    <n v="4"/>
    <x v="3"/>
    <n v="613.98"/>
  </r>
  <r>
    <x v="548"/>
    <x v="548"/>
    <s v="Printer"/>
    <n v="3"/>
    <n v="426.12"/>
    <s v="922 Main St"/>
    <s v="Online"/>
    <n v="5"/>
    <x v="0"/>
    <n v="1278.3599999999999"/>
  </r>
  <r>
    <x v="549"/>
    <x v="549"/>
    <s v="Monitor"/>
    <n v="4"/>
    <n v="629.88"/>
    <s v="550 Main St"/>
    <s v="Debit Card"/>
    <n v="8"/>
    <x v="0"/>
    <n v="2519.52"/>
  </r>
  <r>
    <x v="550"/>
    <x v="550"/>
    <s v="Laptop"/>
    <n v="4"/>
    <n v="228.91"/>
    <s v="573 Main St"/>
    <s v="Cash"/>
    <n v="4"/>
    <x v="4"/>
    <n v="915.64"/>
  </r>
  <r>
    <x v="551"/>
    <x v="551"/>
    <s v="Laptop"/>
    <n v="1"/>
    <n v="120.98"/>
    <s v="353 Main St"/>
    <s v="Debit Card"/>
    <n v="6"/>
    <x v="2"/>
    <n v="120.98"/>
  </r>
  <r>
    <x v="552"/>
    <x v="552"/>
    <s v="Chair"/>
    <n v="4"/>
    <n v="425.18"/>
    <s v="560 Main St"/>
    <s v="Online"/>
    <n v="8"/>
    <x v="3"/>
    <n v="1700.72"/>
  </r>
  <r>
    <x v="553"/>
    <x v="553"/>
    <s v="Phone"/>
    <n v="2"/>
    <n v="333.83"/>
    <s v="828 Main St"/>
    <s v="Gift Card"/>
    <n v="4"/>
    <x v="1"/>
    <n v="667.66"/>
  </r>
  <r>
    <x v="554"/>
    <x v="554"/>
    <s v="Laptop"/>
    <n v="2"/>
    <n v="492.9"/>
    <s v="610 Main St"/>
    <s v="Cash"/>
    <n v="5"/>
    <x v="0"/>
    <n v="985.8"/>
  </r>
  <r>
    <x v="555"/>
    <x v="555"/>
    <s v="Tablet"/>
    <n v="1"/>
    <n v="92.04"/>
    <s v="333 Main St"/>
    <s v="Cash"/>
    <n v="2"/>
    <x v="3"/>
    <n v="92.04"/>
  </r>
  <r>
    <x v="556"/>
    <x v="556"/>
    <s v="Laptop"/>
    <n v="1"/>
    <n v="654.27"/>
    <s v="932 Main St"/>
    <s v="Gift Card"/>
    <n v="2"/>
    <x v="3"/>
    <n v="654.27"/>
  </r>
  <r>
    <x v="557"/>
    <x v="557"/>
    <s v="Tablet"/>
    <n v="1"/>
    <n v="56.2"/>
    <s v="130 Main St"/>
    <s v="Debit Card"/>
    <n v="1"/>
    <x v="3"/>
    <n v="56.2"/>
  </r>
  <r>
    <x v="558"/>
    <x v="558"/>
    <s v="Phone"/>
    <n v="4"/>
    <n v="628.12"/>
    <s v="485 Main St"/>
    <s v="Online"/>
    <n v="6"/>
    <x v="0"/>
    <n v="2512.48"/>
  </r>
  <r>
    <x v="559"/>
    <x v="559"/>
    <s v="Desk"/>
    <n v="3"/>
    <n v="157.4"/>
    <s v="454 Main St"/>
    <s v="Debit Card"/>
    <n v="7"/>
    <x v="2"/>
    <n v="472.2"/>
  </r>
  <r>
    <x v="560"/>
    <x v="560"/>
    <s v="Monitor"/>
    <n v="4"/>
    <n v="588.85"/>
    <s v="524 Main St"/>
    <s v="Gift Card"/>
    <n v="7"/>
    <x v="2"/>
    <n v="2355.4"/>
  </r>
  <r>
    <x v="561"/>
    <x v="561"/>
    <s v="Printer"/>
    <n v="2"/>
    <n v="494.78"/>
    <s v="198 Main St"/>
    <s v="Online"/>
    <n v="2"/>
    <x v="4"/>
    <n v="989.56"/>
  </r>
  <r>
    <x v="562"/>
    <x v="562"/>
    <s v="Laptop"/>
    <n v="3"/>
    <n v="663.93"/>
    <s v="922 Main St"/>
    <s v="Gift Card"/>
    <n v="6"/>
    <x v="2"/>
    <n v="1991.79"/>
  </r>
  <r>
    <x v="563"/>
    <x v="563"/>
    <s v="Laptop"/>
    <n v="1"/>
    <n v="132.68"/>
    <s v="844 Main St"/>
    <s v="Debit Card"/>
    <n v="1"/>
    <x v="1"/>
    <n v="132.68"/>
  </r>
  <r>
    <x v="564"/>
    <x v="564"/>
    <s v="Desk"/>
    <n v="5"/>
    <n v="364.28"/>
    <s v="734 Main St"/>
    <s v="Credit Card"/>
    <n v="5"/>
    <x v="4"/>
    <n v="1821.4"/>
  </r>
  <r>
    <x v="565"/>
    <x v="565"/>
    <s v="Tablet"/>
    <n v="5"/>
    <n v="307.98"/>
    <s v="214 Main St"/>
    <s v="Online"/>
    <n v="10"/>
    <x v="3"/>
    <n v="1539.9"/>
  </r>
  <r>
    <x v="566"/>
    <x v="566"/>
    <s v="Phone"/>
    <n v="4"/>
    <n v="162.71"/>
    <s v="167 Main St"/>
    <s v="Cash"/>
    <n v="7"/>
    <x v="2"/>
    <n v="650.84"/>
  </r>
  <r>
    <x v="567"/>
    <x v="567"/>
    <s v="Chair"/>
    <n v="5"/>
    <n v="492.94"/>
    <s v="153 Main St"/>
    <s v="Cash"/>
    <n v="10"/>
    <x v="2"/>
    <n v="2464.6999999999998"/>
  </r>
  <r>
    <x v="568"/>
    <x v="568"/>
    <s v="Laptop"/>
    <n v="2"/>
    <n v="343.99"/>
    <s v="312 Main St"/>
    <s v="Online"/>
    <n v="4"/>
    <x v="4"/>
    <n v="687.98"/>
  </r>
  <r>
    <x v="569"/>
    <x v="569"/>
    <s v="Desk"/>
    <n v="5"/>
    <n v="250.68"/>
    <s v="672 Main St"/>
    <s v="Cash"/>
    <n v="8"/>
    <x v="0"/>
    <n v="1253.4000000000001"/>
  </r>
  <r>
    <x v="570"/>
    <x v="570"/>
    <s v="Desk"/>
    <n v="2"/>
    <n v="362.14"/>
    <s v="122 Main St"/>
    <s v="Debit Card"/>
    <n v="2"/>
    <x v="0"/>
    <n v="724.28"/>
  </r>
  <r>
    <x v="571"/>
    <x v="571"/>
    <s v="Tablet"/>
    <n v="1"/>
    <n v="214.08"/>
    <s v="867 Main St"/>
    <s v="Gift Card"/>
    <n v="2"/>
    <x v="4"/>
    <n v="214.08"/>
  </r>
  <r>
    <x v="572"/>
    <x v="572"/>
    <s v="Printer"/>
    <n v="1"/>
    <n v="70.319999999999993"/>
    <s v="341 Main St"/>
    <s v="Cash"/>
    <n v="4"/>
    <x v="3"/>
    <n v="70.319999999999993"/>
  </r>
  <r>
    <x v="573"/>
    <x v="573"/>
    <s v="Chair"/>
    <n v="5"/>
    <n v="421.42"/>
    <s v="522 Main St"/>
    <s v="Debit Card"/>
    <n v="7"/>
    <x v="0"/>
    <n v="2107.1"/>
  </r>
  <r>
    <x v="574"/>
    <x v="574"/>
    <s v="Chair"/>
    <n v="5"/>
    <n v="384.69"/>
    <s v="275 Main St"/>
    <s v="Credit Card"/>
    <n v="6"/>
    <x v="2"/>
    <n v="1923.45"/>
  </r>
  <r>
    <x v="575"/>
    <x v="575"/>
    <s v="Chair"/>
    <n v="5"/>
    <n v="448.15"/>
    <s v="528 Main St"/>
    <s v="Gift Card"/>
    <n v="7"/>
    <x v="4"/>
    <n v="2240.75"/>
  </r>
  <r>
    <x v="576"/>
    <x v="576"/>
    <s v="Laptop"/>
    <n v="5"/>
    <n v="79.08"/>
    <s v="747 Main St"/>
    <s v="Cash"/>
    <n v="8"/>
    <x v="3"/>
    <n v="395.4"/>
  </r>
  <r>
    <x v="577"/>
    <x v="577"/>
    <s v="Tablet"/>
    <n v="4"/>
    <n v="185.41"/>
    <s v="967 Main St"/>
    <s v="Online"/>
    <n v="9"/>
    <x v="4"/>
    <n v="741.64"/>
  </r>
  <r>
    <x v="578"/>
    <x v="578"/>
    <s v="Monitor"/>
    <n v="5"/>
    <n v="566.07000000000005"/>
    <s v="587 Main St"/>
    <s v="Credit Card"/>
    <n v="6"/>
    <x v="0"/>
    <n v="2830.35"/>
  </r>
  <r>
    <x v="579"/>
    <x v="579"/>
    <s v="Tablet"/>
    <n v="2"/>
    <n v="187.88"/>
    <s v="413 Main St"/>
    <s v="Online"/>
    <n v="4"/>
    <x v="3"/>
    <n v="375.76"/>
  </r>
  <r>
    <x v="580"/>
    <x v="580"/>
    <s v="Monitor"/>
    <n v="2"/>
    <n v="255.99"/>
    <s v="340 Main St"/>
    <s v="Credit Card"/>
    <n v="4"/>
    <x v="0"/>
    <n v="511.98"/>
  </r>
  <r>
    <x v="581"/>
    <x v="581"/>
    <s v="Laptop"/>
    <n v="1"/>
    <n v="627.34"/>
    <s v="942 Main St"/>
    <s v="Online"/>
    <n v="1"/>
    <x v="1"/>
    <n v="627.34"/>
  </r>
  <r>
    <x v="582"/>
    <x v="582"/>
    <s v="Tablet"/>
    <n v="3"/>
    <n v="474.14"/>
    <s v="558 Main St"/>
    <s v="Gift Card"/>
    <n v="8"/>
    <x v="4"/>
    <n v="1422.42"/>
  </r>
  <r>
    <x v="583"/>
    <x v="583"/>
    <s v="Chair"/>
    <n v="3"/>
    <n v="154.37"/>
    <s v="996 Main St"/>
    <s v="Gift Card"/>
    <n v="4"/>
    <x v="0"/>
    <n v="463.11"/>
  </r>
  <r>
    <x v="584"/>
    <x v="584"/>
    <s v="Chair"/>
    <n v="4"/>
    <n v="145.05000000000001"/>
    <s v="626 Main St"/>
    <s v="Online"/>
    <n v="6"/>
    <x v="4"/>
    <n v="580.20000000000005"/>
  </r>
  <r>
    <x v="585"/>
    <x v="585"/>
    <s v="Tablet"/>
    <n v="4"/>
    <n v="67.08"/>
    <s v="907 Main St"/>
    <s v="Cash"/>
    <n v="8"/>
    <x v="4"/>
    <n v="268.32"/>
  </r>
  <r>
    <x v="586"/>
    <x v="586"/>
    <s v="Monitor"/>
    <n v="1"/>
    <n v="522.08000000000004"/>
    <s v="905 Main St"/>
    <s v="Gift Card"/>
    <n v="5"/>
    <x v="1"/>
    <n v="522.08000000000004"/>
  </r>
  <r>
    <x v="587"/>
    <x v="587"/>
    <s v="Monitor"/>
    <n v="5"/>
    <n v="514.6"/>
    <s v="347 Main St"/>
    <s v="Gift Card"/>
    <n v="10"/>
    <x v="0"/>
    <n v="2573"/>
  </r>
  <r>
    <x v="588"/>
    <x v="588"/>
    <s v="Monitor"/>
    <n v="4"/>
    <n v="577.82000000000005"/>
    <s v="811 Main St"/>
    <s v="Credit Card"/>
    <n v="9"/>
    <x v="4"/>
    <n v="2311.2800000000002"/>
  </r>
  <r>
    <x v="589"/>
    <x v="589"/>
    <s v="Laptop"/>
    <n v="2"/>
    <n v="500.8"/>
    <s v="900 Main St"/>
    <s v="Cash"/>
    <n v="3"/>
    <x v="1"/>
    <n v="1001.6"/>
  </r>
  <r>
    <x v="590"/>
    <x v="590"/>
    <s v="Printer"/>
    <n v="2"/>
    <n v="461.13"/>
    <s v="175 Main St"/>
    <s v="Gift Card"/>
    <n v="4"/>
    <x v="2"/>
    <n v="922.26"/>
  </r>
  <r>
    <x v="591"/>
    <x v="591"/>
    <s v="Laptop"/>
    <n v="1"/>
    <n v="605.28"/>
    <s v="470 Main St"/>
    <s v="Gift Card"/>
    <n v="3"/>
    <x v="1"/>
    <n v="605.28"/>
  </r>
  <r>
    <x v="592"/>
    <x v="592"/>
    <s v="Phone"/>
    <n v="3"/>
    <n v="204.27"/>
    <s v="938 Main St"/>
    <s v="Online"/>
    <n v="4"/>
    <x v="4"/>
    <n v="612.81000000000006"/>
  </r>
  <r>
    <x v="593"/>
    <x v="593"/>
    <s v="Monitor"/>
    <n v="1"/>
    <n v="489.8"/>
    <s v="636 Main St"/>
    <s v="Gift Card"/>
    <n v="4"/>
    <x v="3"/>
    <n v="489.8"/>
  </r>
  <r>
    <x v="594"/>
    <x v="594"/>
    <s v="Phone"/>
    <n v="5"/>
    <n v="72.64"/>
    <s v="598 Main St"/>
    <s v="Credit Card"/>
    <n v="7"/>
    <x v="2"/>
    <n v="363.2"/>
  </r>
  <r>
    <x v="595"/>
    <x v="595"/>
    <s v="Printer"/>
    <n v="2"/>
    <n v="385.16"/>
    <s v="491 Main St"/>
    <s v="Online"/>
    <n v="7"/>
    <x v="2"/>
    <n v="770.32"/>
  </r>
  <r>
    <x v="596"/>
    <x v="596"/>
    <s v="Desk"/>
    <n v="3"/>
    <n v="606.41"/>
    <s v="653 Main St"/>
    <s v="Debit Card"/>
    <n v="7"/>
    <x v="3"/>
    <n v="1819.23"/>
  </r>
  <r>
    <x v="597"/>
    <x v="597"/>
    <s v="Desk"/>
    <n v="2"/>
    <n v="211.82"/>
    <s v="700 Main St"/>
    <s v="Gift Card"/>
    <n v="4"/>
    <x v="2"/>
    <n v="423.64"/>
  </r>
  <r>
    <x v="598"/>
    <x v="598"/>
    <s v="Desk"/>
    <n v="5"/>
    <n v="495.35"/>
    <s v="826 Main St"/>
    <s v="Credit Card"/>
    <n v="5"/>
    <x v="3"/>
    <n v="2476.75"/>
  </r>
  <r>
    <x v="599"/>
    <x v="599"/>
    <s v="Chair"/>
    <n v="3"/>
    <n v="556.99"/>
    <s v="123 Main St"/>
    <s v="Online"/>
    <n v="4"/>
    <x v="3"/>
    <n v="1670.97"/>
  </r>
  <r>
    <x v="600"/>
    <x v="600"/>
    <s v="Printer"/>
    <n v="1"/>
    <n v="72.31"/>
    <s v="460 Main St"/>
    <s v="Gift Card"/>
    <n v="1"/>
    <x v="3"/>
    <n v="72.31"/>
  </r>
  <r>
    <x v="601"/>
    <x v="601"/>
    <s v="Monitor"/>
    <n v="5"/>
    <n v="24.82"/>
    <s v="529 Main St"/>
    <s v="Credit Card"/>
    <n v="10"/>
    <x v="1"/>
    <n v="124.1"/>
  </r>
  <r>
    <x v="602"/>
    <x v="482"/>
    <s v="Tablet"/>
    <n v="4"/>
    <n v="26.04"/>
    <s v="982 Main St"/>
    <s v="Online"/>
    <n v="5"/>
    <x v="0"/>
    <n v="104.16"/>
  </r>
  <r>
    <x v="603"/>
    <x v="602"/>
    <s v="Tablet"/>
    <n v="1"/>
    <n v="657.07"/>
    <s v="800 Main St"/>
    <s v="Cash"/>
    <n v="4"/>
    <x v="4"/>
    <n v="657.07"/>
  </r>
  <r>
    <x v="604"/>
    <x v="603"/>
    <s v="Chair"/>
    <n v="3"/>
    <n v="32.619999999999997"/>
    <s v="252 Main St"/>
    <s v="Debit Card"/>
    <n v="6"/>
    <x v="3"/>
    <n v="97.859999999999985"/>
  </r>
  <r>
    <x v="605"/>
    <x v="604"/>
    <s v="Monitor"/>
    <n v="2"/>
    <n v="228.91"/>
    <s v="892 Main St"/>
    <s v="Debit Card"/>
    <n v="4"/>
    <x v="1"/>
    <n v="457.82"/>
  </r>
  <r>
    <x v="606"/>
    <x v="605"/>
    <s v="Laptop"/>
    <n v="3"/>
    <n v="274.75"/>
    <s v="783 Main St"/>
    <s v="Cash"/>
    <n v="3"/>
    <x v="4"/>
    <n v="824.25"/>
  </r>
  <r>
    <x v="607"/>
    <x v="606"/>
    <s v="Printer"/>
    <n v="4"/>
    <n v="634.04999999999995"/>
    <s v="282 Main St"/>
    <s v="Cash"/>
    <n v="6"/>
    <x v="4"/>
    <n v="2536.1999999999998"/>
  </r>
  <r>
    <x v="608"/>
    <x v="607"/>
    <s v="Laptop"/>
    <n v="5"/>
    <n v="543.16"/>
    <s v="788 Main St"/>
    <s v="Online"/>
    <n v="6"/>
    <x v="0"/>
    <n v="2715.8"/>
  </r>
  <r>
    <x v="609"/>
    <x v="608"/>
    <s v="Chair"/>
    <n v="3"/>
    <n v="449.13"/>
    <s v="809 Main St"/>
    <s v="Cash"/>
    <n v="5"/>
    <x v="1"/>
    <n v="1347.39"/>
  </r>
  <r>
    <x v="610"/>
    <x v="609"/>
    <s v="Desk"/>
    <n v="5"/>
    <n v="389.62"/>
    <s v="623 Main St"/>
    <s v="Cash"/>
    <n v="7"/>
    <x v="3"/>
    <n v="1948.1"/>
  </r>
  <r>
    <x v="611"/>
    <x v="610"/>
    <s v="Desk"/>
    <n v="1"/>
    <n v="305.17"/>
    <s v="700 Main St"/>
    <s v="Gift Card"/>
    <n v="3"/>
    <x v="1"/>
    <n v="305.17"/>
  </r>
  <r>
    <x v="612"/>
    <x v="611"/>
    <s v="Chair"/>
    <n v="3"/>
    <n v="445.12"/>
    <s v="339 Main St"/>
    <s v="Gift Card"/>
    <n v="8"/>
    <x v="4"/>
    <n v="1335.36"/>
  </r>
  <r>
    <x v="613"/>
    <x v="612"/>
    <s v="Laptop"/>
    <n v="2"/>
    <n v="230.36"/>
    <s v="154 Main St"/>
    <s v="Online"/>
    <n v="4"/>
    <x v="2"/>
    <n v="460.72"/>
  </r>
  <r>
    <x v="614"/>
    <x v="613"/>
    <s v="Phone"/>
    <n v="1"/>
    <n v="96.81"/>
    <s v="807 Main St"/>
    <s v="Gift Card"/>
    <n v="3"/>
    <x v="1"/>
    <n v="96.81"/>
  </r>
  <r>
    <x v="615"/>
    <x v="614"/>
    <s v="Monitor"/>
    <n v="5"/>
    <n v="460.14"/>
    <s v="252 Main St"/>
    <s v="Credit Card"/>
    <n v="10"/>
    <x v="3"/>
    <n v="2300.6999999999998"/>
  </r>
  <r>
    <x v="616"/>
    <x v="615"/>
    <s v="Tablet"/>
    <n v="3"/>
    <n v="601.6"/>
    <s v="984 Main St"/>
    <s v="Credit Card"/>
    <n v="7"/>
    <x v="3"/>
    <n v="1804.8"/>
  </r>
  <r>
    <x v="617"/>
    <x v="616"/>
    <s v="Tablet"/>
    <n v="3"/>
    <n v="184.47"/>
    <s v="834 Main St"/>
    <s v="Online"/>
    <n v="4"/>
    <x v="1"/>
    <n v="553.41"/>
  </r>
  <r>
    <x v="618"/>
    <x v="617"/>
    <s v="Tablet"/>
    <n v="1"/>
    <n v="411.34"/>
    <s v="399 Main St"/>
    <s v="Debit Card"/>
    <n v="5"/>
    <x v="0"/>
    <n v="411.34"/>
  </r>
  <r>
    <x v="619"/>
    <x v="618"/>
    <s v="Laptop"/>
    <n v="1"/>
    <n v="532.89"/>
    <s v="764 Main St"/>
    <s v="Gift Card"/>
    <n v="2"/>
    <x v="1"/>
    <n v="532.89"/>
  </r>
  <r>
    <x v="620"/>
    <x v="619"/>
    <s v="Tablet"/>
    <n v="3"/>
    <n v="136.34"/>
    <s v="866 Main St"/>
    <s v="Debit Card"/>
    <n v="8"/>
    <x v="1"/>
    <n v="409.02"/>
  </r>
  <r>
    <x v="621"/>
    <x v="620"/>
    <s v="Phone"/>
    <n v="5"/>
    <n v="476.01"/>
    <s v="146 Main St"/>
    <s v="Credit Card"/>
    <n v="7"/>
    <x v="4"/>
    <n v="2380.0500000000002"/>
  </r>
  <r>
    <x v="622"/>
    <x v="621"/>
    <s v="Desk"/>
    <n v="5"/>
    <n v="236.38"/>
    <s v="128 Main St"/>
    <s v="Credit Card"/>
    <n v="7"/>
    <x v="3"/>
    <n v="1181.9000000000001"/>
  </r>
  <r>
    <x v="623"/>
    <x v="622"/>
    <s v="Printer"/>
    <n v="3"/>
    <n v="396"/>
    <s v="269 Main St"/>
    <s v="Gift Card"/>
    <n v="4"/>
    <x v="0"/>
    <n v="1188"/>
  </r>
  <r>
    <x v="624"/>
    <x v="623"/>
    <s v="Tablet"/>
    <n v="5"/>
    <n v="341.96"/>
    <s v="747 Main St"/>
    <s v="Debit Card"/>
    <n v="6"/>
    <x v="2"/>
    <n v="1709.8"/>
  </r>
  <r>
    <x v="625"/>
    <x v="624"/>
    <s v="Tablet"/>
    <n v="1"/>
    <n v="672.89"/>
    <s v="519 Main St"/>
    <s v="Credit Card"/>
    <n v="1"/>
    <x v="2"/>
    <n v="672.89"/>
  </r>
  <r>
    <x v="626"/>
    <x v="625"/>
    <s v="Tablet"/>
    <n v="2"/>
    <n v="657.48"/>
    <s v="769 Main St"/>
    <s v="Online"/>
    <n v="5"/>
    <x v="1"/>
    <n v="1314.96"/>
  </r>
  <r>
    <x v="627"/>
    <x v="626"/>
    <s v="Chair"/>
    <n v="3"/>
    <n v="498.68"/>
    <s v="879 Main St"/>
    <s v="Online"/>
    <n v="4"/>
    <x v="2"/>
    <n v="1496.04"/>
  </r>
  <r>
    <x v="628"/>
    <x v="627"/>
    <s v="Printer"/>
    <n v="5"/>
    <n v="558.63"/>
    <s v="861 Main St"/>
    <s v="Cash"/>
    <n v="8"/>
    <x v="1"/>
    <n v="2793.15"/>
  </r>
  <r>
    <x v="629"/>
    <x v="628"/>
    <s v="Phone"/>
    <n v="3"/>
    <n v="19.73"/>
    <s v="840 Main St"/>
    <s v="Online"/>
    <n v="3"/>
    <x v="1"/>
    <n v="59.19"/>
  </r>
  <r>
    <x v="630"/>
    <x v="629"/>
    <s v="Monitor"/>
    <n v="5"/>
    <n v="248.84"/>
    <s v="140 Main St"/>
    <s v="Debit Card"/>
    <n v="10"/>
    <x v="0"/>
    <n v="1244.2"/>
  </r>
  <r>
    <x v="631"/>
    <x v="630"/>
    <s v="Chair"/>
    <n v="3"/>
    <n v="46.11"/>
    <s v="360 Main St"/>
    <s v="Gift Card"/>
    <n v="5"/>
    <x v="1"/>
    <n v="138.33000000000001"/>
  </r>
  <r>
    <x v="632"/>
    <x v="631"/>
    <s v="Laptop"/>
    <n v="5"/>
    <n v="678.16"/>
    <s v="463 Main St"/>
    <s v="Gift Card"/>
    <n v="7"/>
    <x v="3"/>
    <n v="3390.8"/>
  </r>
  <r>
    <x v="633"/>
    <x v="632"/>
    <s v="Laptop"/>
    <n v="5"/>
    <n v="601.72"/>
    <s v="921 Main St"/>
    <s v="Gift Card"/>
    <n v="5"/>
    <x v="0"/>
    <n v="3008.6"/>
  </r>
  <r>
    <x v="634"/>
    <x v="633"/>
    <s v="Printer"/>
    <n v="2"/>
    <n v="259.32"/>
    <s v="117 Main St"/>
    <s v="Gift Card"/>
    <n v="2"/>
    <x v="1"/>
    <n v="518.64"/>
  </r>
  <r>
    <x v="635"/>
    <x v="634"/>
    <s v="Chair"/>
    <n v="3"/>
    <n v="63.68"/>
    <s v="434 Main St"/>
    <s v="Cash"/>
    <n v="6"/>
    <x v="3"/>
    <n v="191.04"/>
  </r>
  <r>
    <x v="636"/>
    <x v="635"/>
    <s v="Laptop"/>
    <n v="4"/>
    <n v="371.07"/>
    <s v="336 Main St"/>
    <s v="Cash"/>
    <n v="7"/>
    <x v="3"/>
    <n v="1484.28"/>
  </r>
  <r>
    <x v="637"/>
    <x v="636"/>
    <s v="Chair"/>
    <n v="4"/>
    <n v="306.35000000000002"/>
    <s v="784 Main St"/>
    <s v="Gift Card"/>
    <n v="7"/>
    <x v="1"/>
    <n v="1225.4000000000001"/>
  </r>
  <r>
    <x v="638"/>
    <x v="637"/>
    <s v="Tablet"/>
    <n v="4"/>
    <n v="578.27"/>
    <s v="547 Main St"/>
    <s v="Online"/>
    <n v="9"/>
    <x v="2"/>
    <n v="2313.08"/>
  </r>
  <r>
    <x v="639"/>
    <x v="638"/>
    <s v="Chair"/>
    <n v="1"/>
    <n v="529.19000000000005"/>
    <s v="391 Main St"/>
    <s v="Cash"/>
    <n v="5"/>
    <x v="1"/>
    <n v="529.19000000000005"/>
  </r>
  <r>
    <x v="640"/>
    <x v="639"/>
    <s v="Chair"/>
    <n v="2"/>
    <n v="587.49"/>
    <s v="647 Main St"/>
    <s v="Gift Card"/>
    <n v="6"/>
    <x v="1"/>
    <n v="1174.98"/>
  </r>
  <r>
    <x v="641"/>
    <x v="640"/>
    <s v="Printer"/>
    <n v="4"/>
    <n v="567.57000000000005"/>
    <s v="814 Main St"/>
    <s v="Debit Card"/>
    <n v="9"/>
    <x v="4"/>
    <n v="2270.2800000000002"/>
  </r>
  <r>
    <x v="642"/>
    <x v="641"/>
    <s v="Chair"/>
    <n v="5"/>
    <n v="85.22"/>
    <s v="527 Main St"/>
    <s v="Credit Card"/>
    <n v="7"/>
    <x v="2"/>
    <n v="426.1"/>
  </r>
  <r>
    <x v="643"/>
    <x v="642"/>
    <s v="Laptop"/>
    <n v="1"/>
    <n v="438.37"/>
    <s v="647 Main St"/>
    <s v="Cash"/>
    <n v="4"/>
    <x v="1"/>
    <n v="438.37"/>
  </r>
  <r>
    <x v="644"/>
    <x v="643"/>
    <s v="Chair"/>
    <n v="2"/>
    <n v="366.23"/>
    <s v="961 Main St"/>
    <s v="Cash"/>
    <n v="2"/>
    <x v="2"/>
    <n v="732.46"/>
  </r>
  <r>
    <x v="645"/>
    <x v="644"/>
    <s v="Laptop"/>
    <n v="2"/>
    <n v="150.05000000000001"/>
    <s v="727 Main St"/>
    <s v="Credit Card"/>
    <n v="4"/>
    <x v="3"/>
    <n v="300.10000000000002"/>
  </r>
  <r>
    <x v="646"/>
    <x v="645"/>
    <s v="Chair"/>
    <n v="4"/>
    <n v="498.51"/>
    <s v="804 Main St"/>
    <s v="Debit Card"/>
    <n v="4"/>
    <x v="4"/>
    <n v="1994.04"/>
  </r>
  <r>
    <x v="647"/>
    <x v="646"/>
    <s v="Desk"/>
    <n v="3"/>
    <n v="339.39"/>
    <s v="667 Main St"/>
    <s v="Cash"/>
    <n v="7"/>
    <x v="4"/>
    <n v="1018.17"/>
  </r>
  <r>
    <x v="648"/>
    <x v="647"/>
    <s v="Monitor"/>
    <n v="2"/>
    <n v="575.83000000000004"/>
    <s v="182 Main St"/>
    <s v="Online"/>
    <n v="3"/>
    <x v="1"/>
    <n v="1151.6600000000001"/>
  </r>
  <r>
    <x v="649"/>
    <x v="648"/>
    <s v="Monitor"/>
    <n v="2"/>
    <n v="642.98"/>
    <s v="153 Main St"/>
    <s v="Debit Card"/>
    <n v="7"/>
    <x v="2"/>
    <n v="1285.96"/>
  </r>
  <r>
    <x v="650"/>
    <x v="649"/>
    <s v="Desk"/>
    <n v="2"/>
    <n v="372.23"/>
    <s v="518 Main St"/>
    <s v="Gift Card"/>
    <n v="7"/>
    <x v="2"/>
    <n v="744.46"/>
  </r>
  <r>
    <x v="651"/>
    <x v="650"/>
    <s v="Chair"/>
    <n v="3"/>
    <n v="646.34"/>
    <s v="429 Main St"/>
    <s v="Debit Card"/>
    <n v="5"/>
    <x v="4"/>
    <n v="1939.02"/>
  </r>
  <r>
    <x v="652"/>
    <x v="651"/>
    <s v="Chair"/>
    <n v="5"/>
    <n v="341.84"/>
    <s v="328 Main St"/>
    <s v="Online"/>
    <n v="8"/>
    <x v="0"/>
    <n v="1709.2"/>
  </r>
  <r>
    <x v="653"/>
    <x v="652"/>
    <s v="Printer"/>
    <n v="3"/>
    <n v="690.3"/>
    <s v="747 Main St"/>
    <s v="Credit Card"/>
    <n v="6"/>
    <x v="4"/>
    <n v="2070.9"/>
  </r>
  <r>
    <x v="654"/>
    <x v="653"/>
    <s v="Tablet"/>
    <n v="3"/>
    <n v="382.37"/>
    <s v="863 Main St"/>
    <s v="Debit Card"/>
    <n v="8"/>
    <x v="0"/>
    <n v="1147.1099999999999"/>
  </r>
  <r>
    <x v="655"/>
    <x v="654"/>
    <s v="Chair"/>
    <n v="2"/>
    <n v="132.6"/>
    <s v="262 Main St"/>
    <s v="Debit Card"/>
    <n v="4"/>
    <x v="2"/>
    <n v="265.2"/>
  </r>
  <r>
    <x v="656"/>
    <x v="655"/>
    <s v="Monitor"/>
    <n v="2"/>
    <n v="189.06"/>
    <s v="835 Main St"/>
    <s v="Gift Card"/>
    <n v="7"/>
    <x v="3"/>
    <n v="378.12"/>
  </r>
  <r>
    <x v="657"/>
    <x v="656"/>
    <s v="Tablet"/>
    <n v="4"/>
    <n v="87.79"/>
    <s v="532 Main St"/>
    <s v="Cash"/>
    <n v="6"/>
    <x v="0"/>
    <n v="351.16"/>
  </r>
  <r>
    <x v="658"/>
    <x v="657"/>
    <s v="Printer"/>
    <n v="2"/>
    <n v="46.36"/>
    <s v="670 Main St"/>
    <s v="Gift Card"/>
    <n v="4"/>
    <x v="4"/>
    <n v="92.72"/>
  </r>
  <r>
    <x v="659"/>
    <x v="658"/>
    <s v="Phone"/>
    <n v="2"/>
    <n v="642.04"/>
    <s v="964 Main St"/>
    <s v="Gift Card"/>
    <n v="4"/>
    <x v="2"/>
    <n v="1284.08"/>
  </r>
  <r>
    <x v="660"/>
    <x v="659"/>
    <s v="Chair"/>
    <n v="2"/>
    <n v="651.57000000000005"/>
    <s v="933 Main St"/>
    <s v="Debit Card"/>
    <n v="7"/>
    <x v="3"/>
    <n v="1303.1400000000001"/>
  </r>
  <r>
    <x v="661"/>
    <x v="660"/>
    <s v="Tablet"/>
    <n v="3"/>
    <n v="424.89"/>
    <s v="116 Main St"/>
    <s v="Debit Card"/>
    <n v="6"/>
    <x v="4"/>
    <n v="1274.67"/>
  </r>
  <r>
    <x v="662"/>
    <x v="661"/>
    <s v="Laptop"/>
    <n v="3"/>
    <n v="438.89"/>
    <s v="985 Main St"/>
    <s v="Cash"/>
    <n v="3"/>
    <x v="3"/>
    <n v="1316.67"/>
  </r>
  <r>
    <x v="663"/>
    <x v="662"/>
    <s v="Monitor"/>
    <n v="1"/>
    <n v="72.599999999999994"/>
    <s v="941 Main St"/>
    <s v="Debit Card"/>
    <n v="6"/>
    <x v="0"/>
    <n v="72.599999999999994"/>
  </r>
  <r>
    <x v="664"/>
    <x v="236"/>
    <s v="Laptop"/>
    <n v="4"/>
    <n v="194.75"/>
    <s v="188 Main St"/>
    <s v="Cash"/>
    <n v="5"/>
    <x v="3"/>
    <n v="779"/>
  </r>
  <r>
    <x v="665"/>
    <x v="663"/>
    <s v="Tablet"/>
    <n v="4"/>
    <n v="231.26"/>
    <s v="253 Main St"/>
    <s v="Online"/>
    <n v="6"/>
    <x v="4"/>
    <n v="925.04"/>
  </r>
  <r>
    <x v="666"/>
    <x v="664"/>
    <s v="Monitor"/>
    <n v="4"/>
    <n v="327.12"/>
    <s v="788 Main St"/>
    <s v="Credit Card"/>
    <n v="4"/>
    <x v="2"/>
    <n v="1308.48"/>
  </r>
  <r>
    <x v="667"/>
    <x v="665"/>
    <s v="Laptop"/>
    <n v="1"/>
    <n v="466.42"/>
    <s v="172 Main St"/>
    <s v="Gift Card"/>
    <n v="5"/>
    <x v="2"/>
    <n v="466.42"/>
  </r>
  <r>
    <x v="668"/>
    <x v="666"/>
    <s v="Monitor"/>
    <n v="2"/>
    <n v="253.67"/>
    <s v="981 Main St"/>
    <s v="Cash"/>
    <n v="3"/>
    <x v="3"/>
    <n v="507.34"/>
  </r>
  <r>
    <x v="669"/>
    <x v="667"/>
    <s v="Desk"/>
    <n v="1"/>
    <n v="257"/>
    <s v="812 Main St"/>
    <s v="Debit Card"/>
    <n v="5"/>
    <x v="1"/>
    <n v="257"/>
  </r>
  <r>
    <x v="670"/>
    <x v="668"/>
    <s v="Desk"/>
    <n v="4"/>
    <n v="539.20000000000005"/>
    <s v="747 Main St"/>
    <s v="Credit Card"/>
    <n v="8"/>
    <x v="4"/>
    <n v="2156.8000000000002"/>
  </r>
  <r>
    <x v="671"/>
    <x v="669"/>
    <s v="Chair"/>
    <n v="5"/>
    <n v="50.74"/>
    <s v="737 Main St"/>
    <s v="Gift Card"/>
    <n v="7"/>
    <x v="4"/>
    <n v="253.7"/>
  </r>
  <r>
    <x v="672"/>
    <x v="670"/>
    <s v="Phone"/>
    <n v="2"/>
    <n v="624.16"/>
    <s v="984 Main St"/>
    <s v="Debit Card"/>
    <n v="2"/>
    <x v="0"/>
    <n v="1248.32"/>
  </r>
  <r>
    <x v="673"/>
    <x v="671"/>
    <s v="Tablet"/>
    <n v="2"/>
    <n v="372.92"/>
    <s v="131 Main St"/>
    <s v="Credit Card"/>
    <n v="7"/>
    <x v="2"/>
    <n v="745.84"/>
  </r>
  <r>
    <x v="674"/>
    <x v="672"/>
    <s v="Laptop"/>
    <n v="4"/>
    <n v="358.75"/>
    <s v="860 Main St"/>
    <s v="Gift Card"/>
    <n v="9"/>
    <x v="3"/>
    <n v="1435"/>
  </r>
  <r>
    <x v="675"/>
    <x v="673"/>
    <s v="Desk"/>
    <n v="3"/>
    <n v="342.02"/>
    <s v="906 Main St"/>
    <s v="Debit Card"/>
    <n v="5"/>
    <x v="2"/>
    <n v="1026.06"/>
  </r>
  <r>
    <x v="676"/>
    <x v="674"/>
    <s v="Laptop"/>
    <n v="2"/>
    <n v="422.34"/>
    <s v="985 Main St"/>
    <s v="Credit Card"/>
    <n v="4"/>
    <x v="0"/>
    <n v="844.68"/>
  </r>
  <r>
    <x v="677"/>
    <x v="675"/>
    <s v="Tablet"/>
    <n v="5"/>
    <n v="22.07"/>
    <s v="179 Main St"/>
    <s v="Online"/>
    <n v="7"/>
    <x v="0"/>
    <n v="110.35"/>
  </r>
  <r>
    <x v="678"/>
    <x v="676"/>
    <s v="Chair"/>
    <n v="3"/>
    <n v="163.13"/>
    <s v="457 Main St"/>
    <s v="Gift Card"/>
    <n v="5"/>
    <x v="3"/>
    <n v="489.39"/>
  </r>
  <r>
    <x v="679"/>
    <x v="677"/>
    <s v="Tablet"/>
    <n v="3"/>
    <n v="360.66"/>
    <s v="304 Main St"/>
    <s v="Online"/>
    <n v="5"/>
    <x v="0"/>
    <n v="1081.98"/>
  </r>
  <r>
    <x v="680"/>
    <x v="678"/>
    <s v="Monitor"/>
    <n v="3"/>
    <n v="463.39"/>
    <s v="694 Main St"/>
    <s v="Credit Card"/>
    <n v="3"/>
    <x v="3"/>
    <n v="1390.17"/>
  </r>
  <r>
    <x v="681"/>
    <x v="679"/>
    <s v="Tablet"/>
    <n v="1"/>
    <n v="155.27000000000001"/>
    <s v="548 Main St"/>
    <s v="Debit Card"/>
    <n v="6"/>
    <x v="2"/>
    <n v="155.27000000000001"/>
  </r>
  <r>
    <x v="682"/>
    <x v="680"/>
    <s v="Monitor"/>
    <n v="3"/>
    <n v="509.42"/>
    <s v="449 Main St"/>
    <s v="Credit Card"/>
    <n v="5"/>
    <x v="4"/>
    <n v="1528.26"/>
  </r>
  <r>
    <x v="683"/>
    <x v="681"/>
    <s v="Desk"/>
    <n v="4"/>
    <n v="652.48"/>
    <s v="887 Main St"/>
    <s v="Cash"/>
    <n v="5"/>
    <x v="0"/>
    <n v="2609.92"/>
  </r>
  <r>
    <x v="684"/>
    <x v="682"/>
    <s v="Printer"/>
    <n v="4"/>
    <n v="34.840000000000003"/>
    <s v="288 Main St"/>
    <s v="Credit Card"/>
    <n v="8"/>
    <x v="2"/>
    <n v="139.36000000000001"/>
  </r>
  <r>
    <x v="685"/>
    <x v="683"/>
    <s v="Desk"/>
    <n v="1"/>
    <n v="234.37"/>
    <s v="638 Main St"/>
    <s v="Debit Card"/>
    <n v="5"/>
    <x v="2"/>
    <n v="234.37"/>
  </r>
  <r>
    <x v="686"/>
    <x v="684"/>
    <s v="Desk"/>
    <n v="3"/>
    <n v="53.6"/>
    <s v="525 Main St"/>
    <s v="Cash"/>
    <n v="4"/>
    <x v="3"/>
    <n v="160.80000000000001"/>
  </r>
  <r>
    <x v="687"/>
    <x v="685"/>
    <s v="Tablet"/>
    <n v="1"/>
    <n v="332.09"/>
    <s v="408 Main St"/>
    <s v="Gift Card"/>
    <n v="5"/>
    <x v="0"/>
    <n v="332.09"/>
  </r>
  <r>
    <x v="688"/>
    <x v="686"/>
    <s v="Monitor"/>
    <n v="4"/>
    <n v="593.22"/>
    <s v="154 Main St"/>
    <s v="Credit Card"/>
    <n v="8"/>
    <x v="3"/>
    <n v="2372.88"/>
  </r>
  <r>
    <x v="689"/>
    <x v="687"/>
    <s v="Tablet"/>
    <n v="2"/>
    <n v="444.84"/>
    <s v="787 Main St"/>
    <s v="Online"/>
    <n v="7"/>
    <x v="3"/>
    <n v="889.68"/>
  </r>
  <r>
    <x v="690"/>
    <x v="688"/>
    <s v="Monitor"/>
    <n v="1"/>
    <n v="24.48"/>
    <s v="128 Main St"/>
    <s v="Gift Card"/>
    <n v="1"/>
    <x v="0"/>
    <n v="24.48"/>
  </r>
  <r>
    <x v="691"/>
    <x v="689"/>
    <s v="Laptop"/>
    <n v="3"/>
    <n v="239.08"/>
    <s v="396 Main St"/>
    <s v="Cash"/>
    <n v="8"/>
    <x v="4"/>
    <n v="717.24"/>
  </r>
  <r>
    <x v="692"/>
    <x v="690"/>
    <s v="Desk"/>
    <n v="5"/>
    <n v="196.84"/>
    <s v="319 Main St"/>
    <s v="Credit Card"/>
    <n v="5"/>
    <x v="0"/>
    <n v="984.2"/>
  </r>
  <r>
    <x v="693"/>
    <x v="691"/>
    <s v="Monitor"/>
    <n v="1"/>
    <n v="176.58"/>
    <s v="674 Main St"/>
    <s v="Debit Card"/>
    <n v="4"/>
    <x v="1"/>
    <n v="176.58"/>
  </r>
  <r>
    <x v="694"/>
    <x v="692"/>
    <s v="Printer"/>
    <n v="4"/>
    <n v="666.52"/>
    <s v="619 Main St"/>
    <s v="Cash"/>
    <n v="8"/>
    <x v="2"/>
    <n v="2666.08"/>
  </r>
  <r>
    <x v="695"/>
    <x v="693"/>
    <s v="Printer"/>
    <n v="5"/>
    <n v="101.3"/>
    <s v="553 Main St"/>
    <s v="Online"/>
    <n v="7"/>
    <x v="2"/>
    <n v="506.5"/>
  </r>
  <r>
    <x v="696"/>
    <x v="694"/>
    <s v="Chair"/>
    <n v="4"/>
    <n v="151.19999999999999"/>
    <s v="965 Main St"/>
    <s v="Gift Card"/>
    <n v="9"/>
    <x v="3"/>
    <n v="604.79999999999995"/>
  </r>
  <r>
    <x v="697"/>
    <x v="695"/>
    <s v="Printer"/>
    <n v="5"/>
    <n v="94.85"/>
    <s v="788 Main St"/>
    <s v="Cash"/>
    <n v="6"/>
    <x v="2"/>
    <n v="474.25"/>
  </r>
  <r>
    <x v="698"/>
    <x v="696"/>
    <s v="Laptop"/>
    <n v="2"/>
    <n v="388.22"/>
    <s v="169 Main St"/>
    <s v="Cash"/>
    <n v="2"/>
    <x v="0"/>
    <n v="776.44"/>
  </r>
  <r>
    <x v="699"/>
    <x v="697"/>
    <s v="Laptop"/>
    <n v="3"/>
    <n v="614.15"/>
    <s v="897 Main St"/>
    <s v="Gift Card"/>
    <n v="3"/>
    <x v="3"/>
    <n v="1842.45"/>
  </r>
  <r>
    <x v="700"/>
    <x v="698"/>
    <s v="Laptop"/>
    <n v="2"/>
    <n v="92.91"/>
    <s v="555 Main St"/>
    <s v="Cash"/>
    <n v="3"/>
    <x v="0"/>
    <n v="185.82"/>
  </r>
  <r>
    <x v="701"/>
    <x v="699"/>
    <s v="Monitor"/>
    <n v="3"/>
    <n v="92.22"/>
    <s v="115 Main St"/>
    <s v="Credit Card"/>
    <n v="5"/>
    <x v="2"/>
    <n v="276.66000000000003"/>
  </r>
  <r>
    <x v="702"/>
    <x v="700"/>
    <s v="Printer"/>
    <n v="3"/>
    <n v="562.54999999999995"/>
    <s v="154 Main St"/>
    <s v="Debit Card"/>
    <n v="6"/>
    <x v="2"/>
    <n v="1687.65"/>
  </r>
  <r>
    <x v="703"/>
    <x v="701"/>
    <s v="Desk"/>
    <n v="1"/>
    <n v="92.79"/>
    <s v="799 Main St"/>
    <s v="Cash"/>
    <n v="3"/>
    <x v="2"/>
    <n v="92.79"/>
  </r>
  <r>
    <x v="704"/>
    <x v="702"/>
    <s v="Desk"/>
    <n v="4"/>
    <n v="30.27"/>
    <s v="819 Main St"/>
    <s v="Online"/>
    <n v="9"/>
    <x v="4"/>
    <n v="121.08"/>
  </r>
  <r>
    <x v="705"/>
    <x v="703"/>
    <s v="Monitor"/>
    <n v="2"/>
    <n v="49.08"/>
    <s v="420 Main St"/>
    <s v="Debit Card"/>
    <n v="7"/>
    <x v="0"/>
    <n v="98.16"/>
  </r>
  <r>
    <x v="706"/>
    <x v="704"/>
    <s v="Desk"/>
    <n v="5"/>
    <n v="228.09"/>
    <s v="969 Main St"/>
    <s v="Gift Card"/>
    <n v="9"/>
    <x v="3"/>
    <n v="1140.45"/>
  </r>
  <r>
    <x v="707"/>
    <x v="705"/>
    <s v="Chair"/>
    <n v="4"/>
    <n v="650.04"/>
    <s v="989 Main St"/>
    <s v="Gift Card"/>
    <n v="6"/>
    <x v="3"/>
    <n v="2600.16"/>
  </r>
  <r>
    <x v="708"/>
    <x v="706"/>
    <s v="Printer"/>
    <n v="1"/>
    <n v="665.11"/>
    <s v="788 Main St"/>
    <s v="Cash"/>
    <n v="3"/>
    <x v="0"/>
    <n v="665.11"/>
  </r>
  <r>
    <x v="709"/>
    <x v="707"/>
    <s v="Desk"/>
    <n v="1"/>
    <n v="386.03"/>
    <s v="855 Main St"/>
    <s v="Online"/>
    <n v="4"/>
    <x v="4"/>
    <n v="386.03"/>
  </r>
  <r>
    <x v="710"/>
    <x v="708"/>
    <s v="Laptop"/>
    <n v="5"/>
    <n v="21.54"/>
    <s v="113 Main St"/>
    <s v="Gift Card"/>
    <n v="10"/>
    <x v="4"/>
    <n v="107.7"/>
  </r>
  <r>
    <x v="711"/>
    <x v="709"/>
    <s v="Tablet"/>
    <n v="2"/>
    <n v="475.78"/>
    <s v="632 Main St"/>
    <s v="Online"/>
    <n v="2"/>
    <x v="4"/>
    <n v="951.56"/>
  </r>
  <r>
    <x v="712"/>
    <x v="557"/>
    <s v="Tablet"/>
    <n v="2"/>
    <n v="68.400000000000006"/>
    <s v="993 Main St"/>
    <s v="Gift Card"/>
    <n v="7"/>
    <x v="2"/>
    <n v="136.80000000000001"/>
  </r>
  <r>
    <x v="713"/>
    <x v="710"/>
    <s v="Tablet"/>
    <n v="4"/>
    <n v="532.49"/>
    <s v="638 Main St"/>
    <s v="Online"/>
    <n v="6"/>
    <x v="3"/>
    <n v="2129.96"/>
  </r>
  <r>
    <x v="714"/>
    <x v="711"/>
    <s v="Laptop"/>
    <n v="1"/>
    <n v="51.73"/>
    <s v="278 Main St"/>
    <s v="Debit Card"/>
    <n v="1"/>
    <x v="3"/>
    <n v="51.73"/>
  </r>
  <r>
    <x v="715"/>
    <x v="712"/>
    <s v="Printer"/>
    <n v="3"/>
    <n v="653.63"/>
    <s v="281 Main St"/>
    <s v="Online"/>
    <n v="7"/>
    <x v="2"/>
    <n v="1960.89"/>
  </r>
  <r>
    <x v="716"/>
    <x v="713"/>
    <s v="Chair"/>
    <n v="3"/>
    <n v="454.29"/>
    <s v="891 Main St"/>
    <s v="Credit Card"/>
    <n v="4"/>
    <x v="4"/>
    <n v="1362.87"/>
  </r>
  <r>
    <x v="717"/>
    <x v="714"/>
    <s v="Chair"/>
    <n v="3"/>
    <n v="122.11"/>
    <s v="707 Main St"/>
    <s v="Online"/>
    <n v="4"/>
    <x v="2"/>
    <n v="366.33"/>
  </r>
  <r>
    <x v="718"/>
    <x v="715"/>
    <s v="Laptop"/>
    <n v="4"/>
    <n v="64.739999999999995"/>
    <s v="718 Main St"/>
    <s v="Gift Card"/>
    <n v="8"/>
    <x v="4"/>
    <n v="258.95999999999998"/>
  </r>
  <r>
    <x v="719"/>
    <x v="716"/>
    <s v="Laptop"/>
    <n v="2"/>
    <n v="681.06"/>
    <s v="703 Main St"/>
    <s v="Debit Card"/>
    <n v="3"/>
    <x v="3"/>
    <n v="1362.12"/>
  </r>
  <r>
    <x v="720"/>
    <x v="717"/>
    <s v="Desk"/>
    <n v="5"/>
    <n v="128.94999999999999"/>
    <s v="305 Main St"/>
    <s v="Cash"/>
    <n v="10"/>
    <x v="0"/>
    <n v="644.75"/>
  </r>
  <r>
    <x v="721"/>
    <x v="718"/>
    <s v="Desk"/>
    <n v="2"/>
    <n v="118.59"/>
    <s v="890 Main St"/>
    <s v="Credit Card"/>
    <n v="2"/>
    <x v="2"/>
    <n v="237.18"/>
  </r>
  <r>
    <x v="722"/>
    <x v="719"/>
    <s v="Printer"/>
    <n v="1"/>
    <n v="95.1"/>
    <s v="516 Main St"/>
    <s v="Gift Card"/>
    <n v="1"/>
    <x v="0"/>
    <n v="95.1"/>
  </r>
  <r>
    <x v="723"/>
    <x v="720"/>
    <s v="Desk"/>
    <n v="3"/>
    <n v="54.95"/>
    <s v="385 Main St"/>
    <s v="Cash"/>
    <n v="8"/>
    <x v="1"/>
    <n v="164.85"/>
  </r>
  <r>
    <x v="724"/>
    <x v="721"/>
    <s v="Printer"/>
    <n v="3"/>
    <n v="136.97"/>
    <s v="326 Main St"/>
    <s v="Credit Card"/>
    <n v="4"/>
    <x v="1"/>
    <n v="410.91"/>
  </r>
  <r>
    <x v="725"/>
    <x v="722"/>
    <s v="Chair"/>
    <n v="2"/>
    <n v="194.85"/>
    <s v="372 Main St"/>
    <s v="Gift Card"/>
    <n v="5"/>
    <x v="1"/>
    <n v="389.7"/>
  </r>
  <r>
    <x v="726"/>
    <x v="723"/>
    <s v="Laptop"/>
    <n v="4"/>
    <n v="583.02"/>
    <s v="338 Main St"/>
    <s v="Online"/>
    <n v="4"/>
    <x v="3"/>
    <n v="2332.08"/>
  </r>
  <r>
    <x v="727"/>
    <x v="724"/>
    <s v="Chair"/>
    <n v="5"/>
    <n v="95.75"/>
    <s v="379 Main St"/>
    <s v="Online"/>
    <n v="8"/>
    <x v="0"/>
    <n v="478.75"/>
  </r>
  <r>
    <x v="728"/>
    <x v="725"/>
    <s v="Desk"/>
    <n v="4"/>
    <n v="325.76"/>
    <s v="827 Main St"/>
    <s v="Gift Card"/>
    <n v="8"/>
    <x v="2"/>
    <n v="1303.04"/>
  </r>
  <r>
    <x v="729"/>
    <x v="726"/>
    <s v="Phone"/>
    <n v="4"/>
    <n v="186.41"/>
    <s v="819 Main St"/>
    <s v="Gift Card"/>
    <n v="6"/>
    <x v="4"/>
    <n v="745.64"/>
  </r>
  <r>
    <x v="730"/>
    <x v="727"/>
    <s v="Phone"/>
    <n v="1"/>
    <n v="474.6"/>
    <s v="407 Main St"/>
    <s v="Debit Card"/>
    <n v="4"/>
    <x v="2"/>
    <n v="474.6"/>
  </r>
  <r>
    <x v="731"/>
    <x v="728"/>
    <s v="Printer"/>
    <n v="5"/>
    <n v="584.46"/>
    <s v="308 Main St"/>
    <s v="Credit Card"/>
    <n v="8"/>
    <x v="2"/>
    <n v="2922.3"/>
  </r>
  <r>
    <x v="732"/>
    <x v="729"/>
    <s v="Laptop"/>
    <n v="1"/>
    <n v="132.05000000000001"/>
    <s v="787 Main St"/>
    <s v="Online"/>
    <n v="2"/>
    <x v="4"/>
    <n v="132.05000000000001"/>
  </r>
  <r>
    <x v="733"/>
    <x v="730"/>
    <s v="Tablet"/>
    <n v="4"/>
    <n v="494.84"/>
    <s v="694 Main St"/>
    <s v="Cash"/>
    <n v="8"/>
    <x v="2"/>
    <n v="1979.36"/>
  </r>
  <r>
    <x v="734"/>
    <x v="731"/>
    <s v="Printer"/>
    <n v="4"/>
    <n v="224.61"/>
    <s v="630 Main St"/>
    <s v="Credit Card"/>
    <n v="6"/>
    <x v="3"/>
    <n v="898.44"/>
  </r>
  <r>
    <x v="735"/>
    <x v="732"/>
    <s v="Monitor"/>
    <n v="4"/>
    <n v="44.07"/>
    <s v="359 Main St"/>
    <s v="Debit Card"/>
    <n v="6"/>
    <x v="2"/>
    <n v="176.28"/>
  </r>
  <r>
    <x v="736"/>
    <x v="733"/>
    <s v="Monitor"/>
    <n v="5"/>
    <n v="418.53"/>
    <s v="696 Main St"/>
    <s v="Credit Card"/>
    <n v="6"/>
    <x v="4"/>
    <n v="2092.65"/>
  </r>
  <r>
    <x v="737"/>
    <x v="734"/>
    <s v="Phone"/>
    <n v="4"/>
    <n v="532.87"/>
    <s v="972 Main St"/>
    <s v="Cash"/>
    <n v="9"/>
    <x v="0"/>
    <n v="2131.48"/>
  </r>
  <r>
    <x v="738"/>
    <x v="735"/>
    <s v="Phone"/>
    <n v="2"/>
    <n v="485.37"/>
    <s v="264 Main St"/>
    <s v="Credit Card"/>
    <n v="5"/>
    <x v="2"/>
    <n v="970.74"/>
  </r>
  <r>
    <x v="739"/>
    <x v="736"/>
    <s v="Phone"/>
    <n v="4"/>
    <n v="386.73"/>
    <s v="513 Main St"/>
    <s v="Cash"/>
    <n v="4"/>
    <x v="3"/>
    <n v="1546.92"/>
  </r>
  <r>
    <x v="740"/>
    <x v="737"/>
    <s v="Desk"/>
    <n v="2"/>
    <n v="377.47"/>
    <s v="433 Main St"/>
    <s v="Cash"/>
    <n v="7"/>
    <x v="4"/>
    <n v="754.94"/>
  </r>
  <r>
    <x v="741"/>
    <x v="738"/>
    <s v="Monitor"/>
    <n v="5"/>
    <n v="332.64"/>
    <s v="945 Main St"/>
    <s v="Gift Card"/>
    <n v="10"/>
    <x v="1"/>
    <n v="1663.2"/>
  </r>
  <r>
    <x v="742"/>
    <x v="739"/>
    <s v="Laptop"/>
    <n v="3"/>
    <n v="699.93"/>
    <s v="726 Main St"/>
    <s v="Cash"/>
    <n v="7"/>
    <x v="4"/>
    <n v="2099.79"/>
  </r>
  <r>
    <x v="743"/>
    <x v="740"/>
    <s v="Monitor"/>
    <n v="1"/>
    <n v="576.35"/>
    <s v="549 Main St"/>
    <s v="Gift Card"/>
    <n v="1"/>
    <x v="0"/>
    <n v="576.35"/>
  </r>
  <r>
    <x v="744"/>
    <x v="741"/>
    <s v="Tablet"/>
    <n v="2"/>
    <n v="461.37"/>
    <s v="200 Main St"/>
    <s v="Cash"/>
    <n v="5"/>
    <x v="4"/>
    <n v="922.74"/>
  </r>
  <r>
    <x v="745"/>
    <x v="742"/>
    <s v="Printer"/>
    <n v="4"/>
    <n v="111.3"/>
    <s v="364 Main St"/>
    <s v="Debit Card"/>
    <n v="7"/>
    <x v="2"/>
    <n v="445.2"/>
  </r>
  <r>
    <x v="746"/>
    <x v="743"/>
    <s v="Desk"/>
    <n v="3"/>
    <n v="661.89"/>
    <s v="551 Main St"/>
    <s v="Online"/>
    <n v="6"/>
    <x v="1"/>
    <n v="1985.67"/>
  </r>
  <r>
    <x v="747"/>
    <x v="744"/>
    <s v="Tablet"/>
    <n v="2"/>
    <n v="259.58"/>
    <s v="940 Main St"/>
    <s v="Debit Card"/>
    <n v="7"/>
    <x v="0"/>
    <n v="519.16"/>
  </r>
  <r>
    <x v="748"/>
    <x v="745"/>
    <s v="Tablet"/>
    <n v="3"/>
    <n v="70.81"/>
    <s v="249 Main St"/>
    <s v="Credit Card"/>
    <n v="8"/>
    <x v="1"/>
    <n v="212.43"/>
  </r>
  <r>
    <x v="749"/>
    <x v="746"/>
    <s v="Laptop"/>
    <n v="1"/>
    <n v="518.39"/>
    <s v="997 Main St"/>
    <s v="Debit Card"/>
    <n v="4"/>
    <x v="0"/>
    <n v="518.39"/>
  </r>
  <r>
    <x v="750"/>
    <x v="747"/>
    <s v="Tablet"/>
    <n v="4"/>
    <n v="145.41"/>
    <s v="637 Main St"/>
    <s v="Credit Card"/>
    <n v="7"/>
    <x v="2"/>
    <n v="581.64"/>
  </r>
  <r>
    <x v="751"/>
    <x v="748"/>
    <s v="Tablet"/>
    <n v="2"/>
    <n v="599.86"/>
    <s v="455 Main St"/>
    <s v="Gift Card"/>
    <n v="7"/>
    <x v="3"/>
    <n v="1199.72"/>
  </r>
  <r>
    <x v="752"/>
    <x v="749"/>
    <s v="Phone"/>
    <n v="4"/>
    <n v="429.37"/>
    <s v="299 Main St"/>
    <s v="Credit Card"/>
    <n v="8"/>
    <x v="4"/>
    <n v="1717.48"/>
  </r>
  <r>
    <x v="753"/>
    <x v="750"/>
    <s v="Phone"/>
    <n v="2"/>
    <n v="241.49"/>
    <s v="864 Main St"/>
    <s v="Debit Card"/>
    <n v="7"/>
    <x v="0"/>
    <n v="482.98"/>
  </r>
  <r>
    <x v="754"/>
    <x v="751"/>
    <s v="Printer"/>
    <n v="2"/>
    <n v="452.05"/>
    <s v="983 Main St"/>
    <s v="Credit Card"/>
    <n v="3"/>
    <x v="2"/>
    <n v="904.1"/>
  </r>
  <r>
    <x v="755"/>
    <x v="752"/>
    <s v="Desk"/>
    <n v="3"/>
    <n v="336.71"/>
    <s v="658 Main St"/>
    <s v="Credit Card"/>
    <n v="4"/>
    <x v="2"/>
    <n v="1010.13"/>
  </r>
  <r>
    <x v="756"/>
    <x v="753"/>
    <s v="Phone"/>
    <n v="1"/>
    <n v="283.69"/>
    <s v="202 Main St"/>
    <s v="Gift Card"/>
    <n v="6"/>
    <x v="4"/>
    <n v="283.69"/>
  </r>
  <r>
    <x v="757"/>
    <x v="754"/>
    <s v="Desk"/>
    <n v="1"/>
    <n v="157.72"/>
    <s v="597 Main St"/>
    <s v="Debit Card"/>
    <n v="2"/>
    <x v="4"/>
    <n v="157.72"/>
  </r>
  <r>
    <x v="758"/>
    <x v="755"/>
    <s v="Tablet"/>
    <n v="3"/>
    <n v="624.84"/>
    <s v="917 Main St"/>
    <s v="Credit Card"/>
    <n v="8"/>
    <x v="3"/>
    <n v="1874.52"/>
  </r>
  <r>
    <x v="759"/>
    <x v="756"/>
    <s v="Desk"/>
    <n v="3"/>
    <n v="308.01"/>
    <s v="366 Main St"/>
    <s v="Cash"/>
    <n v="3"/>
    <x v="3"/>
    <n v="924.03"/>
  </r>
  <r>
    <x v="760"/>
    <x v="757"/>
    <s v="Desk"/>
    <n v="1"/>
    <n v="39.56"/>
    <s v="283 Main St"/>
    <s v="Debit Card"/>
    <n v="5"/>
    <x v="4"/>
    <n v="39.56"/>
  </r>
  <r>
    <x v="761"/>
    <x v="758"/>
    <s v="Desk"/>
    <n v="4"/>
    <n v="37.76"/>
    <s v="217 Main St"/>
    <s v="Debit Card"/>
    <n v="7"/>
    <x v="4"/>
    <n v="151.04"/>
  </r>
  <r>
    <x v="762"/>
    <x v="759"/>
    <s v="Phone"/>
    <n v="3"/>
    <n v="76.959999999999994"/>
    <s v="611 Main St"/>
    <s v="Cash"/>
    <n v="8"/>
    <x v="2"/>
    <n v="230.88"/>
  </r>
  <r>
    <x v="763"/>
    <x v="760"/>
    <s v="Laptop"/>
    <n v="1"/>
    <n v="569.96"/>
    <s v="533 Main St"/>
    <s v="Online"/>
    <n v="4"/>
    <x v="2"/>
    <n v="569.96"/>
  </r>
  <r>
    <x v="764"/>
    <x v="761"/>
    <s v="Laptop"/>
    <n v="5"/>
    <n v="627.42999999999995"/>
    <s v="806 Main St"/>
    <s v="Credit Card"/>
    <n v="10"/>
    <x v="2"/>
    <n v="3137.15"/>
  </r>
  <r>
    <x v="765"/>
    <x v="762"/>
    <s v="Laptop"/>
    <n v="2"/>
    <n v="534.91"/>
    <s v="281 Main St"/>
    <s v="Debit Card"/>
    <n v="5"/>
    <x v="4"/>
    <n v="1069.82"/>
  </r>
  <r>
    <x v="766"/>
    <x v="763"/>
    <s v="Printer"/>
    <n v="2"/>
    <n v="278.88"/>
    <s v="494 Main St"/>
    <s v="Debit Card"/>
    <n v="3"/>
    <x v="1"/>
    <n v="557.76"/>
  </r>
  <r>
    <x v="767"/>
    <x v="764"/>
    <s v="Tablet"/>
    <n v="2"/>
    <n v="323.22000000000003"/>
    <s v="517 Main St"/>
    <s v="Credit Card"/>
    <n v="7"/>
    <x v="0"/>
    <n v="646.44000000000005"/>
  </r>
  <r>
    <x v="768"/>
    <x v="765"/>
    <s v="Tablet"/>
    <n v="5"/>
    <n v="653.46"/>
    <s v="165 Main St"/>
    <s v="Cash"/>
    <n v="9"/>
    <x v="2"/>
    <n v="3267.3"/>
  </r>
  <r>
    <x v="769"/>
    <x v="766"/>
    <s v="Printer"/>
    <n v="4"/>
    <n v="678.55"/>
    <s v="568 Main St"/>
    <s v="Cash"/>
    <n v="5"/>
    <x v="2"/>
    <n v="2714.2"/>
  </r>
  <r>
    <x v="770"/>
    <x v="767"/>
    <s v="Desk"/>
    <n v="1"/>
    <n v="314.38"/>
    <s v="227 Main St"/>
    <s v="Online"/>
    <n v="6"/>
    <x v="4"/>
    <n v="314.38"/>
  </r>
  <r>
    <x v="771"/>
    <x v="768"/>
    <s v="Phone"/>
    <n v="3"/>
    <n v="692.44"/>
    <s v="272 Main St"/>
    <s v="Debit Card"/>
    <n v="8"/>
    <x v="4"/>
    <n v="2077.3200000000002"/>
  </r>
  <r>
    <x v="772"/>
    <x v="769"/>
    <s v="Monitor"/>
    <n v="1"/>
    <n v="604.87"/>
    <s v="461 Main St"/>
    <s v="Online"/>
    <n v="4"/>
    <x v="0"/>
    <n v="604.87"/>
  </r>
  <r>
    <x v="773"/>
    <x v="770"/>
    <s v="Phone"/>
    <n v="2"/>
    <n v="512.33000000000004"/>
    <s v="415 Main St"/>
    <s v="Cash"/>
    <n v="7"/>
    <x v="3"/>
    <n v="1024.6600000000001"/>
  </r>
  <r>
    <x v="774"/>
    <x v="771"/>
    <s v="Chair"/>
    <n v="3"/>
    <n v="20.54"/>
    <s v="257 Main St"/>
    <s v="Credit Card"/>
    <n v="3"/>
    <x v="0"/>
    <n v="61.62"/>
  </r>
  <r>
    <x v="775"/>
    <x v="772"/>
    <s v="Phone"/>
    <n v="2"/>
    <n v="625.22"/>
    <s v="569 Main St"/>
    <s v="Online"/>
    <n v="5"/>
    <x v="4"/>
    <n v="1250.44"/>
  </r>
  <r>
    <x v="776"/>
    <x v="773"/>
    <s v="Tablet"/>
    <n v="1"/>
    <n v="21.19"/>
    <s v="482 Main St"/>
    <s v="Cash"/>
    <n v="5"/>
    <x v="4"/>
    <n v="21.19"/>
  </r>
  <r>
    <x v="777"/>
    <x v="774"/>
    <s v="Chair"/>
    <n v="5"/>
    <n v="64.489999999999995"/>
    <s v="633 Main St"/>
    <s v="Online"/>
    <n v="7"/>
    <x v="3"/>
    <n v="322.45"/>
  </r>
  <r>
    <x v="778"/>
    <x v="775"/>
    <s v="Laptop"/>
    <n v="4"/>
    <n v="246.85"/>
    <s v="316 Main St"/>
    <s v="Credit Card"/>
    <n v="8"/>
    <x v="4"/>
    <n v="987.4"/>
  </r>
  <r>
    <x v="779"/>
    <x v="776"/>
    <s v="Phone"/>
    <n v="3"/>
    <n v="588.74"/>
    <s v="751 Main St"/>
    <s v="Debit Card"/>
    <n v="8"/>
    <x v="2"/>
    <n v="1766.22"/>
  </r>
  <r>
    <x v="780"/>
    <x v="777"/>
    <s v="Laptop"/>
    <n v="4"/>
    <n v="184.48"/>
    <s v="661 Main St"/>
    <s v="Online"/>
    <n v="4"/>
    <x v="4"/>
    <n v="737.92"/>
  </r>
  <r>
    <x v="781"/>
    <x v="778"/>
    <s v="Phone"/>
    <n v="5"/>
    <n v="524.26"/>
    <s v="934 Main St"/>
    <s v="Gift Card"/>
    <n v="5"/>
    <x v="1"/>
    <n v="2621.3000000000002"/>
  </r>
  <r>
    <x v="782"/>
    <x v="779"/>
    <s v="Monitor"/>
    <n v="2"/>
    <n v="493.63"/>
    <s v="167 Main St"/>
    <s v="Online"/>
    <n v="6"/>
    <x v="1"/>
    <n v="987.26"/>
  </r>
  <r>
    <x v="783"/>
    <x v="780"/>
    <s v="Printer"/>
    <n v="1"/>
    <n v="438.34"/>
    <s v="281 Main St"/>
    <s v="Gift Card"/>
    <n v="5"/>
    <x v="3"/>
    <n v="438.34"/>
  </r>
  <r>
    <x v="784"/>
    <x v="781"/>
    <s v="Laptop"/>
    <n v="1"/>
    <n v="325.81"/>
    <s v="232 Main St"/>
    <s v="Credit Card"/>
    <n v="1"/>
    <x v="1"/>
    <n v="325.81"/>
  </r>
  <r>
    <x v="785"/>
    <x v="782"/>
    <s v="Chair"/>
    <n v="1"/>
    <n v="176.1"/>
    <s v="342 Main St"/>
    <s v="Credit Card"/>
    <n v="1"/>
    <x v="0"/>
    <n v="176.1"/>
  </r>
  <r>
    <x v="786"/>
    <x v="783"/>
    <s v="Chair"/>
    <n v="5"/>
    <n v="45.31"/>
    <s v="774 Main St"/>
    <s v="Online"/>
    <n v="8"/>
    <x v="1"/>
    <n v="226.55"/>
  </r>
  <r>
    <x v="787"/>
    <x v="784"/>
    <s v="Desk"/>
    <n v="4"/>
    <n v="221.96"/>
    <s v="193 Main St"/>
    <s v="Cash"/>
    <n v="7"/>
    <x v="4"/>
    <n v="887.84"/>
  </r>
  <r>
    <x v="788"/>
    <x v="785"/>
    <s v="Chair"/>
    <n v="2"/>
    <n v="601.42999999999995"/>
    <s v="761 Main St"/>
    <s v="Online"/>
    <n v="5"/>
    <x v="0"/>
    <n v="1202.8599999999999"/>
  </r>
  <r>
    <x v="789"/>
    <x v="786"/>
    <s v="Tablet"/>
    <n v="5"/>
    <n v="691.28"/>
    <s v="183 Main St"/>
    <s v="Online"/>
    <n v="10"/>
    <x v="2"/>
    <n v="3456.4"/>
  </r>
  <r>
    <x v="790"/>
    <x v="787"/>
    <s v="Laptop"/>
    <n v="4"/>
    <n v="417.89"/>
    <s v="302 Main St"/>
    <s v="Gift Card"/>
    <n v="4"/>
    <x v="4"/>
    <n v="1671.56"/>
  </r>
  <r>
    <x v="791"/>
    <x v="788"/>
    <s v="Chair"/>
    <n v="4"/>
    <n v="409.28"/>
    <s v="956 Main St"/>
    <s v="Cash"/>
    <n v="8"/>
    <x v="2"/>
    <n v="1637.12"/>
  </r>
  <r>
    <x v="792"/>
    <x v="789"/>
    <s v="Desk"/>
    <n v="2"/>
    <n v="356.35"/>
    <s v="746 Main St"/>
    <s v="Debit Card"/>
    <n v="6"/>
    <x v="3"/>
    <n v="712.7"/>
  </r>
  <r>
    <x v="793"/>
    <x v="790"/>
    <s v="Chair"/>
    <n v="5"/>
    <n v="170.22"/>
    <s v="769 Main St"/>
    <s v="Debit Card"/>
    <n v="8"/>
    <x v="1"/>
    <n v="851.1"/>
  </r>
  <r>
    <x v="794"/>
    <x v="791"/>
    <s v="Printer"/>
    <n v="4"/>
    <n v="384.85"/>
    <s v="988 Main St"/>
    <s v="Online"/>
    <n v="9"/>
    <x v="0"/>
    <n v="1539.4"/>
  </r>
  <r>
    <x v="795"/>
    <x v="792"/>
    <s v="Laptop"/>
    <n v="4"/>
    <n v="115.77"/>
    <s v="586 Main St"/>
    <s v="Online"/>
    <n v="7"/>
    <x v="0"/>
    <n v="463.08"/>
  </r>
  <r>
    <x v="796"/>
    <x v="793"/>
    <s v="Phone"/>
    <n v="3"/>
    <n v="579.54999999999995"/>
    <s v="882 Main St"/>
    <s v="Gift Card"/>
    <n v="8"/>
    <x v="3"/>
    <n v="1738.65"/>
  </r>
  <r>
    <x v="797"/>
    <x v="794"/>
    <s v="Laptop"/>
    <n v="2"/>
    <n v="438.76"/>
    <s v="426 Main St"/>
    <s v="Debit Card"/>
    <n v="2"/>
    <x v="3"/>
    <n v="877.52"/>
  </r>
  <r>
    <x v="798"/>
    <x v="795"/>
    <s v="Phone"/>
    <n v="5"/>
    <n v="488.35"/>
    <s v="968 Main St"/>
    <s v="Debit Card"/>
    <n v="9"/>
    <x v="2"/>
    <n v="2441.75"/>
  </r>
  <r>
    <x v="799"/>
    <x v="796"/>
    <s v="Laptop"/>
    <n v="4"/>
    <n v="328.56"/>
    <s v="803 Main St"/>
    <s v="Debit Card"/>
    <n v="4"/>
    <x v="2"/>
    <n v="1314.24"/>
  </r>
  <r>
    <x v="800"/>
    <x v="797"/>
    <s v="Tablet"/>
    <n v="1"/>
    <n v="68.39"/>
    <s v="412 Main St"/>
    <s v="Online"/>
    <n v="3"/>
    <x v="3"/>
    <n v="68.39"/>
  </r>
  <r>
    <x v="801"/>
    <x v="27"/>
    <s v="Printer"/>
    <n v="4"/>
    <n v="595.62"/>
    <s v="738 Main St"/>
    <s v="Debit Card"/>
    <n v="8"/>
    <x v="3"/>
    <n v="2382.48"/>
  </r>
  <r>
    <x v="802"/>
    <x v="798"/>
    <s v="Chair"/>
    <n v="5"/>
    <n v="644.64"/>
    <s v="205 Main St"/>
    <s v="Gift Card"/>
    <n v="6"/>
    <x v="2"/>
    <n v="3223.2"/>
  </r>
  <r>
    <x v="803"/>
    <x v="799"/>
    <s v="Monitor"/>
    <n v="5"/>
    <n v="397.81"/>
    <s v="223 Main St"/>
    <s v="Debit Card"/>
    <n v="5"/>
    <x v="1"/>
    <n v="1989.05"/>
  </r>
  <r>
    <x v="804"/>
    <x v="800"/>
    <s v="Chair"/>
    <n v="3"/>
    <n v="236.5"/>
    <s v="916 Main St"/>
    <s v="Online"/>
    <n v="8"/>
    <x v="2"/>
    <n v="709.5"/>
  </r>
  <r>
    <x v="805"/>
    <x v="801"/>
    <s v="Laptop"/>
    <n v="5"/>
    <n v="472.01"/>
    <s v="178 Main St"/>
    <s v="Gift Card"/>
    <n v="10"/>
    <x v="2"/>
    <n v="2360.0500000000002"/>
  </r>
  <r>
    <x v="806"/>
    <x v="802"/>
    <s v="Chair"/>
    <n v="5"/>
    <n v="253.75"/>
    <s v="740 Main St"/>
    <s v="Online"/>
    <n v="9"/>
    <x v="0"/>
    <n v="1268.75"/>
  </r>
  <r>
    <x v="807"/>
    <x v="803"/>
    <s v="Monitor"/>
    <n v="3"/>
    <n v="676.21"/>
    <s v="260 Main St"/>
    <s v="Online"/>
    <n v="5"/>
    <x v="4"/>
    <n v="2028.63"/>
  </r>
  <r>
    <x v="808"/>
    <x v="804"/>
    <s v="Desk"/>
    <n v="3"/>
    <n v="134.05000000000001"/>
    <s v="192 Main St"/>
    <s v="Credit Card"/>
    <n v="3"/>
    <x v="4"/>
    <n v="402.15"/>
  </r>
  <r>
    <x v="809"/>
    <x v="805"/>
    <s v="Desk"/>
    <n v="5"/>
    <n v="217.43"/>
    <s v="752 Main St"/>
    <s v="Debit Card"/>
    <n v="10"/>
    <x v="0"/>
    <n v="1087.1500000000001"/>
  </r>
  <r>
    <x v="810"/>
    <x v="806"/>
    <s v="Tablet"/>
    <n v="1"/>
    <n v="553.55999999999995"/>
    <s v="644 Main St"/>
    <s v="Credit Card"/>
    <n v="5"/>
    <x v="1"/>
    <n v="553.55999999999995"/>
  </r>
  <r>
    <x v="811"/>
    <x v="807"/>
    <s v="Laptop"/>
    <n v="2"/>
    <n v="28.55"/>
    <s v="864 Main St"/>
    <s v="Gift Card"/>
    <n v="7"/>
    <x v="2"/>
    <n v="57.1"/>
  </r>
  <r>
    <x v="812"/>
    <x v="808"/>
    <s v="Phone"/>
    <n v="2"/>
    <n v="255.26"/>
    <s v="803 Main St"/>
    <s v="Credit Card"/>
    <n v="6"/>
    <x v="4"/>
    <n v="510.52"/>
  </r>
  <r>
    <x v="813"/>
    <x v="809"/>
    <s v="Laptop"/>
    <n v="5"/>
    <n v="292.54000000000002"/>
    <s v="263 Main St"/>
    <s v="Debit Card"/>
    <n v="8"/>
    <x v="2"/>
    <n v="1462.7"/>
  </r>
  <r>
    <x v="814"/>
    <x v="810"/>
    <s v="Chair"/>
    <n v="4"/>
    <n v="147.51"/>
    <s v="979 Main St"/>
    <s v="Debit Card"/>
    <n v="4"/>
    <x v="0"/>
    <n v="590.04"/>
  </r>
  <r>
    <x v="815"/>
    <x v="811"/>
    <s v="Printer"/>
    <n v="3"/>
    <n v="569.84"/>
    <s v="920 Main St"/>
    <s v="Gift Card"/>
    <n v="8"/>
    <x v="0"/>
    <n v="1709.52"/>
  </r>
  <r>
    <x v="816"/>
    <x v="812"/>
    <s v="Tablet"/>
    <n v="5"/>
    <n v="574.79"/>
    <s v="497 Main St"/>
    <s v="Credit Card"/>
    <n v="8"/>
    <x v="1"/>
    <n v="2873.95"/>
  </r>
  <r>
    <x v="817"/>
    <x v="813"/>
    <s v="Chair"/>
    <n v="4"/>
    <n v="598.19000000000005"/>
    <s v="430 Main St"/>
    <s v="Credit Card"/>
    <n v="7"/>
    <x v="2"/>
    <n v="2392.7600000000002"/>
  </r>
  <r>
    <x v="818"/>
    <x v="814"/>
    <s v="Phone"/>
    <n v="4"/>
    <n v="390.84"/>
    <s v="860 Main St"/>
    <s v="Credit Card"/>
    <n v="9"/>
    <x v="1"/>
    <n v="1563.36"/>
  </r>
  <r>
    <x v="819"/>
    <x v="815"/>
    <s v="Phone"/>
    <n v="2"/>
    <n v="398.45"/>
    <s v="650 Main St"/>
    <s v="Debit Card"/>
    <n v="7"/>
    <x v="4"/>
    <n v="796.9"/>
  </r>
  <r>
    <x v="820"/>
    <x v="816"/>
    <s v="Phone"/>
    <n v="5"/>
    <n v="623.80999999999995"/>
    <s v="171 Main St"/>
    <s v="Cash"/>
    <n v="6"/>
    <x v="2"/>
    <n v="3119.05"/>
  </r>
  <r>
    <x v="821"/>
    <x v="817"/>
    <s v="Laptop"/>
    <n v="4"/>
    <n v="174.49"/>
    <s v="259 Main St"/>
    <s v="Credit Card"/>
    <n v="5"/>
    <x v="3"/>
    <n v="697.96"/>
  </r>
  <r>
    <x v="822"/>
    <x v="818"/>
    <s v="Phone"/>
    <n v="1"/>
    <n v="479.56"/>
    <s v="923 Main St"/>
    <s v="Gift Card"/>
    <n v="1"/>
    <x v="4"/>
    <n v="479.56"/>
  </r>
  <r>
    <x v="823"/>
    <x v="819"/>
    <s v="Laptop"/>
    <n v="4"/>
    <n v="653.13"/>
    <s v="973 Main St"/>
    <s v="Credit Card"/>
    <n v="8"/>
    <x v="0"/>
    <n v="2612.52"/>
  </r>
  <r>
    <x v="824"/>
    <x v="820"/>
    <s v="Monitor"/>
    <n v="3"/>
    <n v="481.1"/>
    <s v="664 Main St"/>
    <s v="Credit Card"/>
    <n v="3"/>
    <x v="3"/>
    <n v="1443.3"/>
  </r>
  <r>
    <x v="825"/>
    <x v="821"/>
    <s v="Desk"/>
    <n v="5"/>
    <n v="271.69"/>
    <s v="543 Main St"/>
    <s v="Online"/>
    <n v="7"/>
    <x v="0"/>
    <n v="1358.45"/>
  </r>
  <r>
    <x v="826"/>
    <x v="822"/>
    <s v="Printer"/>
    <n v="3"/>
    <n v="463.81"/>
    <s v="283 Main St"/>
    <s v="Online"/>
    <n v="8"/>
    <x v="2"/>
    <n v="1391.43"/>
  </r>
  <r>
    <x v="827"/>
    <x v="823"/>
    <s v="Tablet"/>
    <n v="2"/>
    <n v="639.88"/>
    <s v="432 Main St"/>
    <s v="Cash"/>
    <n v="5"/>
    <x v="0"/>
    <n v="1279.76"/>
  </r>
  <r>
    <x v="828"/>
    <x v="824"/>
    <s v="Chair"/>
    <n v="4"/>
    <n v="404.58"/>
    <s v="510 Main St"/>
    <s v="Cash"/>
    <n v="5"/>
    <x v="0"/>
    <n v="1618.32"/>
  </r>
  <r>
    <x v="829"/>
    <x v="825"/>
    <s v="Monitor"/>
    <n v="1"/>
    <n v="76.930000000000007"/>
    <s v="685 Main St"/>
    <s v="Debit Card"/>
    <n v="6"/>
    <x v="0"/>
    <n v="76.930000000000007"/>
  </r>
  <r>
    <x v="830"/>
    <x v="826"/>
    <s v="Tablet"/>
    <n v="4"/>
    <n v="190.64"/>
    <s v="853 Main St"/>
    <s v="Cash"/>
    <n v="5"/>
    <x v="2"/>
    <n v="762.56"/>
  </r>
  <r>
    <x v="831"/>
    <x v="827"/>
    <s v="Printer"/>
    <n v="2"/>
    <n v="88.73"/>
    <s v="140 Main St"/>
    <s v="Online"/>
    <n v="5"/>
    <x v="4"/>
    <n v="177.46"/>
  </r>
  <r>
    <x v="832"/>
    <x v="828"/>
    <s v="Chair"/>
    <n v="5"/>
    <n v="485.71"/>
    <s v="903 Main St"/>
    <s v="Online"/>
    <n v="10"/>
    <x v="1"/>
    <n v="2428.5500000000002"/>
  </r>
  <r>
    <x v="833"/>
    <x v="829"/>
    <s v="Phone"/>
    <n v="5"/>
    <n v="78.290000000000006"/>
    <s v="508 Main St"/>
    <s v="Credit Card"/>
    <n v="5"/>
    <x v="1"/>
    <n v="391.45"/>
  </r>
  <r>
    <x v="834"/>
    <x v="830"/>
    <s v="Printer"/>
    <n v="5"/>
    <n v="22.14"/>
    <s v="456 Main St"/>
    <s v="Cash"/>
    <n v="10"/>
    <x v="0"/>
    <n v="110.7"/>
  </r>
  <r>
    <x v="835"/>
    <x v="831"/>
    <s v="Desk"/>
    <n v="1"/>
    <n v="679.65"/>
    <s v="390 Main St"/>
    <s v="Debit Card"/>
    <n v="6"/>
    <x v="4"/>
    <n v="679.65"/>
  </r>
  <r>
    <x v="836"/>
    <x v="832"/>
    <s v="Phone"/>
    <n v="1"/>
    <n v="178.44"/>
    <s v="328 Main St"/>
    <s v="Credit Card"/>
    <n v="2"/>
    <x v="4"/>
    <n v="178.44"/>
  </r>
  <r>
    <x v="837"/>
    <x v="833"/>
    <s v="Chair"/>
    <n v="5"/>
    <n v="655.55"/>
    <s v="282 Main St"/>
    <s v="Online"/>
    <n v="5"/>
    <x v="2"/>
    <n v="3277.75"/>
  </r>
  <r>
    <x v="838"/>
    <x v="834"/>
    <s v="Desk"/>
    <n v="4"/>
    <n v="577.08000000000004"/>
    <s v="384 Main St"/>
    <s v="Online"/>
    <n v="8"/>
    <x v="3"/>
    <n v="2308.3200000000002"/>
  </r>
  <r>
    <x v="839"/>
    <x v="835"/>
    <s v="Chair"/>
    <n v="3"/>
    <n v="197.97"/>
    <s v="551 Main St"/>
    <s v="Online"/>
    <n v="5"/>
    <x v="4"/>
    <n v="593.91"/>
  </r>
  <r>
    <x v="840"/>
    <x v="836"/>
    <s v="Chair"/>
    <n v="3"/>
    <n v="411.95"/>
    <s v="672 Main St"/>
    <s v="Credit Card"/>
    <n v="7"/>
    <x v="1"/>
    <n v="1235.8499999999999"/>
  </r>
  <r>
    <x v="841"/>
    <x v="837"/>
    <s v="Printer"/>
    <n v="2"/>
    <n v="443.22"/>
    <s v="742 Main St"/>
    <s v="Credit Card"/>
    <n v="5"/>
    <x v="3"/>
    <n v="886.44"/>
  </r>
  <r>
    <x v="842"/>
    <x v="838"/>
    <s v="Laptop"/>
    <n v="3"/>
    <n v="364.14"/>
    <s v="396 Main St"/>
    <s v="Online"/>
    <n v="7"/>
    <x v="1"/>
    <n v="1092.42"/>
  </r>
  <r>
    <x v="843"/>
    <x v="839"/>
    <s v="Desk"/>
    <n v="3"/>
    <n v="430.06"/>
    <s v="534 Main St"/>
    <s v="Gift Card"/>
    <n v="8"/>
    <x v="0"/>
    <n v="1290.18"/>
  </r>
  <r>
    <x v="844"/>
    <x v="840"/>
    <s v="Chair"/>
    <n v="1"/>
    <n v="320.92"/>
    <s v="883 Main St"/>
    <s v="Online"/>
    <n v="5"/>
    <x v="3"/>
    <n v="320.92"/>
  </r>
  <r>
    <x v="845"/>
    <x v="841"/>
    <s v="Phone"/>
    <n v="3"/>
    <n v="107.36"/>
    <s v="808 Main St"/>
    <s v="Gift Card"/>
    <n v="5"/>
    <x v="4"/>
    <n v="322.08"/>
  </r>
  <r>
    <x v="846"/>
    <x v="842"/>
    <s v="Desk"/>
    <n v="2"/>
    <n v="359.86"/>
    <s v="646 Main St"/>
    <s v="Debit Card"/>
    <n v="4"/>
    <x v="1"/>
    <n v="719.72"/>
  </r>
  <r>
    <x v="847"/>
    <x v="843"/>
    <s v="Printer"/>
    <n v="4"/>
    <n v="434.23"/>
    <s v="670 Main St"/>
    <s v="Online"/>
    <n v="8"/>
    <x v="2"/>
    <n v="1736.92"/>
  </r>
  <r>
    <x v="848"/>
    <x v="844"/>
    <s v="Chair"/>
    <n v="2"/>
    <n v="645.85"/>
    <s v="634 Main St"/>
    <s v="Online"/>
    <n v="5"/>
    <x v="1"/>
    <n v="1291.7"/>
  </r>
  <r>
    <x v="849"/>
    <x v="845"/>
    <s v="Printer"/>
    <n v="4"/>
    <n v="214.35"/>
    <s v="664 Main St"/>
    <s v="Debit Card"/>
    <n v="7"/>
    <x v="1"/>
    <n v="857.4"/>
  </r>
  <r>
    <x v="850"/>
    <x v="846"/>
    <s v="Monitor"/>
    <n v="3"/>
    <n v="638.5"/>
    <s v="890 Main St"/>
    <s v="Debit Card"/>
    <n v="4"/>
    <x v="0"/>
    <n v="1915.5"/>
  </r>
  <r>
    <x v="851"/>
    <x v="847"/>
    <s v="Laptop"/>
    <n v="1"/>
    <n v="365.57"/>
    <s v="146 Main St"/>
    <s v="Online"/>
    <n v="5"/>
    <x v="2"/>
    <n v="365.57"/>
  </r>
  <r>
    <x v="852"/>
    <x v="848"/>
    <s v="Desk"/>
    <n v="3"/>
    <n v="568.04999999999995"/>
    <s v="618 Main St"/>
    <s v="Gift Card"/>
    <n v="6"/>
    <x v="4"/>
    <n v="1704.15"/>
  </r>
  <r>
    <x v="853"/>
    <x v="849"/>
    <s v="Printer"/>
    <n v="3"/>
    <n v="490.01"/>
    <s v="894 Main St"/>
    <s v="Cash"/>
    <n v="4"/>
    <x v="3"/>
    <n v="1470.03"/>
  </r>
  <r>
    <x v="854"/>
    <x v="850"/>
    <s v="Laptop"/>
    <n v="3"/>
    <n v="372.6"/>
    <s v="356 Main St"/>
    <s v="Credit Card"/>
    <n v="7"/>
    <x v="1"/>
    <n v="1117.8"/>
  </r>
  <r>
    <x v="855"/>
    <x v="851"/>
    <s v="Monitor"/>
    <n v="5"/>
    <n v="240.61"/>
    <s v="785 Main St"/>
    <s v="Credit Card"/>
    <n v="10"/>
    <x v="2"/>
    <n v="1203.05"/>
  </r>
  <r>
    <x v="856"/>
    <x v="852"/>
    <s v="Phone"/>
    <n v="1"/>
    <n v="586.62"/>
    <s v="871 Main St"/>
    <s v="Debit Card"/>
    <n v="5"/>
    <x v="3"/>
    <n v="586.62"/>
  </r>
  <r>
    <x v="857"/>
    <x v="853"/>
    <s v="Phone"/>
    <n v="3"/>
    <n v="257.83999999999997"/>
    <s v="185 Main St"/>
    <s v="Online"/>
    <n v="4"/>
    <x v="0"/>
    <n v="773.52"/>
  </r>
  <r>
    <x v="858"/>
    <x v="854"/>
    <s v="Tablet"/>
    <n v="5"/>
    <n v="435.66"/>
    <s v="891 Main St"/>
    <s v="Online"/>
    <n v="9"/>
    <x v="3"/>
    <n v="2178.3000000000002"/>
  </r>
  <r>
    <x v="859"/>
    <x v="855"/>
    <s v="Chair"/>
    <n v="5"/>
    <n v="261.33"/>
    <s v="154 Main St"/>
    <s v="Credit Card"/>
    <n v="5"/>
    <x v="1"/>
    <n v="1306.6500000000001"/>
  </r>
  <r>
    <x v="860"/>
    <x v="856"/>
    <s v="Printer"/>
    <n v="1"/>
    <n v="422.54"/>
    <s v="876 Main St"/>
    <s v="Cash"/>
    <n v="1"/>
    <x v="4"/>
    <n v="422.54"/>
  </r>
  <r>
    <x v="861"/>
    <x v="857"/>
    <s v="Desk"/>
    <n v="5"/>
    <n v="330.45"/>
    <s v="230 Main St"/>
    <s v="Gift Card"/>
    <n v="10"/>
    <x v="4"/>
    <n v="1652.25"/>
  </r>
  <r>
    <x v="862"/>
    <x v="858"/>
    <s v="Desk"/>
    <n v="3"/>
    <n v="120.82"/>
    <s v="799 Main St"/>
    <s v="Credit Card"/>
    <n v="5"/>
    <x v="1"/>
    <n v="362.46"/>
  </r>
  <r>
    <x v="863"/>
    <x v="859"/>
    <s v="Phone"/>
    <n v="1"/>
    <n v="14.06"/>
    <s v="471 Main St"/>
    <s v="Credit Card"/>
    <n v="5"/>
    <x v="1"/>
    <n v="14.06"/>
  </r>
  <r>
    <x v="864"/>
    <x v="860"/>
    <s v="Desk"/>
    <n v="1"/>
    <n v="491.11"/>
    <s v="592 Main St"/>
    <s v="Credit Card"/>
    <n v="4"/>
    <x v="3"/>
    <n v="491.11"/>
  </r>
  <r>
    <x v="865"/>
    <x v="861"/>
    <s v="Monitor"/>
    <n v="4"/>
    <n v="677.37"/>
    <s v="156 Main St"/>
    <s v="Cash"/>
    <n v="8"/>
    <x v="4"/>
    <n v="2709.48"/>
  </r>
  <r>
    <x v="866"/>
    <x v="862"/>
    <s v="Desk"/>
    <n v="5"/>
    <n v="189.25"/>
    <s v="693 Main St"/>
    <s v="Debit Card"/>
    <n v="10"/>
    <x v="2"/>
    <n v="946.25"/>
  </r>
  <r>
    <x v="867"/>
    <x v="863"/>
    <s v="Printer"/>
    <n v="4"/>
    <n v="142.58000000000001"/>
    <s v="351 Main St"/>
    <s v="Cash"/>
    <n v="4"/>
    <x v="3"/>
    <n v="570.32000000000005"/>
  </r>
  <r>
    <x v="868"/>
    <x v="864"/>
    <s v="Monitor"/>
    <n v="4"/>
    <n v="316.32"/>
    <s v="309 Main St"/>
    <s v="Debit Card"/>
    <n v="7"/>
    <x v="3"/>
    <n v="1265.28"/>
  </r>
  <r>
    <x v="869"/>
    <x v="865"/>
    <s v="Desk"/>
    <n v="2"/>
    <n v="533.95000000000005"/>
    <s v="790 Main St"/>
    <s v="Online"/>
    <n v="5"/>
    <x v="4"/>
    <n v="1067.9000000000001"/>
  </r>
  <r>
    <x v="870"/>
    <x v="866"/>
    <s v="Phone"/>
    <n v="4"/>
    <n v="470.09"/>
    <s v="541 Main St"/>
    <s v="Debit Card"/>
    <n v="4"/>
    <x v="4"/>
    <n v="1880.36"/>
  </r>
  <r>
    <x v="871"/>
    <x v="867"/>
    <s v="Tablet"/>
    <n v="3"/>
    <n v="324.3"/>
    <s v="720 Main St"/>
    <s v="Debit Card"/>
    <n v="8"/>
    <x v="2"/>
    <n v="972.90000000000009"/>
  </r>
  <r>
    <x v="872"/>
    <x v="868"/>
    <s v="Chair"/>
    <n v="4"/>
    <n v="629.34"/>
    <s v="172 Main St"/>
    <s v="Cash"/>
    <n v="7"/>
    <x v="2"/>
    <n v="2517.36"/>
  </r>
  <r>
    <x v="873"/>
    <x v="869"/>
    <s v="Desk"/>
    <n v="3"/>
    <n v="136.84"/>
    <s v="448 Main St"/>
    <s v="Cash"/>
    <n v="3"/>
    <x v="3"/>
    <n v="410.52"/>
  </r>
  <r>
    <x v="874"/>
    <x v="870"/>
    <s v="Chair"/>
    <n v="2"/>
    <n v="488.9"/>
    <s v="632 Main St"/>
    <s v="Cash"/>
    <n v="7"/>
    <x v="3"/>
    <n v="977.8"/>
  </r>
  <r>
    <x v="875"/>
    <x v="871"/>
    <s v="Laptop"/>
    <n v="5"/>
    <n v="133.38999999999999"/>
    <s v="203 Main St"/>
    <s v="Credit Card"/>
    <n v="6"/>
    <x v="1"/>
    <n v="666.94999999999993"/>
  </r>
  <r>
    <x v="876"/>
    <x v="872"/>
    <s v="Chair"/>
    <n v="5"/>
    <n v="608.91"/>
    <s v="200 Main St"/>
    <s v="Gift Card"/>
    <n v="6"/>
    <x v="4"/>
    <n v="3044.55"/>
  </r>
  <r>
    <x v="877"/>
    <x v="873"/>
    <s v="Tablet"/>
    <n v="1"/>
    <n v="524.05999999999995"/>
    <s v="269 Main St"/>
    <s v="Debit Card"/>
    <n v="3"/>
    <x v="2"/>
    <n v="524.05999999999995"/>
  </r>
  <r>
    <x v="878"/>
    <x v="874"/>
    <s v="Desk"/>
    <n v="2"/>
    <n v="330.69"/>
    <s v="393 Main St"/>
    <s v="Online"/>
    <n v="5"/>
    <x v="4"/>
    <n v="661.38"/>
  </r>
  <r>
    <x v="879"/>
    <x v="875"/>
    <s v="Phone"/>
    <n v="2"/>
    <n v="547.66999999999996"/>
    <s v="932 Main St"/>
    <s v="Gift Card"/>
    <n v="3"/>
    <x v="0"/>
    <n v="1095.3399999999999"/>
  </r>
  <r>
    <x v="880"/>
    <x v="876"/>
    <s v="Laptop"/>
    <n v="4"/>
    <n v="233.7"/>
    <s v="506 Main St"/>
    <s v="Online"/>
    <n v="8"/>
    <x v="3"/>
    <n v="934.8"/>
  </r>
  <r>
    <x v="881"/>
    <x v="877"/>
    <s v="Tablet"/>
    <n v="2"/>
    <n v="448.85"/>
    <s v="386 Main St"/>
    <s v="Credit Card"/>
    <n v="6"/>
    <x v="0"/>
    <n v="897.7"/>
  </r>
  <r>
    <x v="882"/>
    <x v="878"/>
    <s v="Phone"/>
    <n v="2"/>
    <n v="274.12"/>
    <s v="533 Main St"/>
    <s v="Cash"/>
    <n v="6"/>
    <x v="1"/>
    <n v="548.24"/>
  </r>
  <r>
    <x v="883"/>
    <x v="879"/>
    <s v="Printer"/>
    <n v="5"/>
    <n v="561.48"/>
    <s v="451 Main St"/>
    <s v="Online"/>
    <n v="9"/>
    <x v="3"/>
    <n v="2807.4"/>
  </r>
  <r>
    <x v="884"/>
    <x v="880"/>
    <s v="Chair"/>
    <n v="1"/>
    <n v="595.54"/>
    <s v="817 Main St"/>
    <s v="Gift Card"/>
    <n v="4"/>
    <x v="0"/>
    <n v="595.54"/>
  </r>
  <r>
    <x v="885"/>
    <x v="881"/>
    <s v="Laptop"/>
    <n v="4"/>
    <n v="515.59"/>
    <s v="387 Main St"/>
    <s v="Credit Card"/>
    <n v="7"/>
    <x v="4"/>
    <n v="2062.36"/>
  </r>
  <r>
    <x v="886"/>
    <x v="882"/>
    <s v="Phone"/>
    <n v="1"/>
    <n v="460.13"/>
    <s v="792 Main St"/>
    <s v="Credit Card"/>
    <n v="1"/>
    <x v="4"/>
    <n v="460.13"/>
  </r>
  <r>
    <x v="887"/>
    <x v="883"/>
    <s v="Chair"/>
    <n v="3"/>
    <n v="171.66"/>
    <s v="857 Main St"/>
    <s v="Debit Card"/>
    <n v="7"/>
    <x v="4"/>
    <n v="514.98"/>
  </r>
  <r>
    <x v="888"/>
    <x v="884"/>
    <s v="Laptop"/>
    <n v="2"/>
    <n v="266.95"/>
    <s v="833 Main St"/>
    <s v="Credit Card"/>
    <n v="3"/>
    <x v="0"/>
    <n v="533.9"/>
  </r>
  <r>
    <x v="889"/>
    <x v="885"/>
    <s v="Monitor"/>
    <n v="5"/>
    <n v="650.72"/>
    <s v="350 Main St"/>
    <s v="Credit Card"/>
    <n v="8"/>
    <x v="2"/>
    <n v="3253.6"/>
  </r>
  <r>
    <x v="890"/>
    <x v="886"/>
    <s v="Laptop"/>
    <n v="3"/>
    <n v="439.53"/>
    <s v="943 Main St"/>
    <s v="Debit Card"/>
    <n v="5"/>
    <x v="4"/>
    <n v="1318.59"/>
  </r>
  <r>
    <x v="891"/>
    <x v="887"/>
    <s v="Monitor"/>
    <n v="3"/>
    <n v="654.54"/>
    <s v="918 Main St"/>
    <s v="Cash"/>
    <n v="7"/>
    <x v="1"/>
    <n v="1963.62"/>
  </r>
  <r>
    <x v="892"/>
    <x v="888"/>
    <s v="Desk"/>
    <n v="1"/>
    <n v="394.53"/>
    <s v="480 Main St"/>
    <s v="Cash"/>
    <n v="2"/>
    <x v="1"/>
    <n v="394.53"/>
  </r>
  <r>
    <x v="893"/>
    <x v="889"/>
    <s v="Monitor"/>
    <n v="1"/>
    <n v="678.01"/>
    <s v="696 Main St"/>
    <s v="Cash"/>
    <n v="4"/>
    <x v="1"/>
    <n v="678.01"/>
  </r>
  <r>
    <x v="894"/>
    <x v="890"/>
    <s v="Tablet"/>
    <n v="3"/>
    <n v="575.01"/>
    <s v="852 Main St"/>
    <s v="Online"/>
    <n v="8"/>
    <x v="0"/>
    <n v="1725.03"/>
  </r>
  <r>
    <x v="895"/>
    <x v="891"/>
    <s v="Chair"/>
    <n v="3"/>
    <n v="154.63999999999999"/>
    <s v="832 Main St"/>
    <s v="Debit Card"/>
    <n v="6"/>
    <x v="3"/>
    <n v="463.92"/>
  </r>
  <r>
    <x v="896"/>
    <x v="892"/>
    <s v="Desk"/>
    <n v="3"/>
    <n v="147.29"/>
    <s v="102 Main St"/>
    <s v="Gift Card"/>
    <n v="3"/>
    <x v="4"/>
    <n v="441.87"/>
  </r>
  <r>
    <x v="897"/>
    <x v="893"/>
    <s v="Laptop"/>
    <n v="4"/>
    <n v="481.48"/>
    <s v="358 Main St"/>
    <s v="Gift Card"/>
    <n v="5"/>
    <x v="0"/>
    <n v="1925.92"/>
  </r>
  <r>
    <x v="898"/>
    <x v="894"/>
    <s v="Monitor"/>
    <n v="3"/>
    <n v="158.37"/>
    <s v="742 Main St"/>
    <s v="Cash"/>
    <n v="6"/>
    <x v="1"/>
    <n v="475.11"/>
  </r>
  <r>
    <x v="899"/>
    <x v="895"/>
    <s v="Printer"/>
    <n v="2"/>
    <n v="323.37"/>
    <s v="552 Main St"/>
    <s v="Online"/>
    <n v="3"/>
    <x v="0"/>
    <n v="646.74"/>
  </r>
  <r>
    <x v="900"/>
    <x v="896"/>
    <s v="Laptop"/>
    <n v="5"/>
    <n v="73.83"/>
    <s v="991 Main St"/>
    <s v="Debit Card"/>
    <n v="9"/>
    <x v="0"/>
    <n v="369.15"/>
  </r>
  <r>
    <x v="901"/>
    <x v="897"/>
    <s v="Tablet"/>
    <n v="1"/>
    <n v="458.63"/>
    <s v="839 Main St"/>
    <s v="Debit Card"/>
    <n v="4"/>
    <x v="1"/>
    <n v="458.63"/>
  </r>
  <r>
    <x v="902"/>
    <x v="898"/>
    <s v="Monitor"/>
    <n v="4"/>
    <n v="180.25"/>
    <s v="813 Main St"/>
    <s v="Debit Card"/>
    <n v="7"/>
    <x v="3"/>
    <n v="721"/>
  </r>
  <r>
    <x v="903"/>
    <x v="899"/>
    <s v="Monitor"/>
    <n v="3"/>
    <n v="473.49"/>
    <s v="205 Main St"/>
    <s v="Credit Card"/>
    <n v="7"/>
    <x v="2"/>
    <n v="1420.47"/>
  </r>
  <r>
    <x v="904"/>
    <x v="900"/>
    <s v="Monitor"/>
    <n v="4"/>
    <n v="237.43"/>
    <s v="262 Main St"/>
    <s v="Cash"/>
    <n v="8"/>
    <x v="1"/>
    <n v="949.72"/>
  </r>
  <r>
    <x v="905"/>
    <x v="901"/>
    <s v="Laptop"/>
    <n v="1"/>
    <n v="442.39"/>
    <s v="101 Main St"/>
    <s v="Gift Card"/>
    <n v="6"/>
    <x v="3"/>
    <n v="442.39"/>
  </r>
  <r>
    <x v="906"/>
    <x v="902"/>
    <s v="Monitor"/>
    <n v="1"/>
    <n v="62.12"/>
    <s v="141 Main St"/>
    <s v="Cash"/>
    <n v="2"/>
    <x v="2"/>
    <n v="62.12"/>
  </r>
  <r>
    <x v="907"/>
    <x v="903"/>
    <s v="Desk"/>
    <n v="5"/>
    <n v="298.39"/>
    <s v="583 Main St"/>
    <s v="Gift Card"/>
    <n v="7"/>
    <x v="1"/>
    <n v="1491.95"/>
  </r>
  <r>
    <x v="908"/>
    <x v="904"/>
    <s v="Desk"/>
    <n v="2"/>
    <n v="697.93"/>
    <s v="332 Main St"/>
    <s v="Credit Card"/>
    <n v="2"/>
    <x v="4"/>
    <n v="1395.86"/>
  </r>
  <r>
    <x v="909"/>
    <x v="905"/>
    <s v="Tablet"/>
    <n v="2"/>
    <n v="291.85000000000002"/>
    <s v="569 Main St"/>
    <s v="Cash"/>
    <n v="5"/>
    <x v="0"/>
    <n v="583.70000000000005"/>
  </r>
  <r>
    <x v="910"/>
    <x v="906"/>
    <s v="Printer"/>
    <n v="3"/>
    <n v="308.98"/>
    <s v="348 Main St"/>
    <s v="Cash"/>
    <n v="3"/>
    <x v="0"/>
    <n v="926.94"/>
  </r>
  <r>
    <x v="911"/>
    <x v="907"/>
    <s v="Desk"/>
    <n v="5"/>
    <n v="396.86"/>
    <s v="593 Main St"/>
    <s v="Cash"/>
    <n v="9"/>
    <x v="0"/>
    <n v="1984.3"/>
  </r>
  <r>
    <x v="912"/>
    <x v="908"/>
    <s v="Desk"/>
    <n v="2"/>
    <n v="139.69"/>
    <s v="318 Main St"/>
    <s v="Online"/>
    <n v="7"/>
    <x v="2"/>
    <n v="279.38"/>
  </r>
  <r>
    <x v="913"/>
    <x v="909"/>
    <s v="Printer"/>
    <n v="5"/>
    <n v="475.95"/>
    <s v="505 Main St"/>
    <s v="Credit Card"/>
    <n v="8"/>
    <x v="3"/>
    <n v="2379.75"/>
  </r>
  <r>
    <x v="914"/>
    <x v="910"/>
    <s v="Desk"/>
    <n v="1"/>
    <n v="626.6"/>
    <s v="955 Main St"/>
    <s v="Gift Card"/>
    <n v="4"/>
    <x v="3"/>
    <n v="626.6"/>
  </r>
  <r>
    <x v="915"/>
    <x v="911"/>
    <s v="Laptop"/>
    <n v="4"/>
    <n v="502.99"/>
    <s v="939 Main St"/>
    <s v="Debit Card"/>
    <n v="4"/>
    <x v="1"/>
    <n v="2011.96"/>
  </r>
  <r>
    <x v="916"/>
    <x v="912"/>
    <s v="Printer"/>
    <n v="5"/>
    <n v="578.83000000000004"/>
    <s v="165 Main St"/>
    <s v="Cash"/>
    <n v="6"/>
    <x v="1"/>
    <n v="2894.15"/>
  </r>
  <r>
    <x v="917"/>
    <x v="913"/>
    <s v="Laptop"/>
    <n v="5"/>
    <n v="383.82"/>
    <s v="836 Main St"/>
    <s v="Credit Card"/>
    <n v="7"/>
    <x v="4"/>
    <n v="1919.1"/>
  </r>
  <r>
    <x v="918"/>
    <x v="914"/>
    <s v="Laptop"/>
    <n v="5"/>
    <n v="368.25"/>
    <s v="706 Main St"/>
    <s v="Online"/>
    <n v="5"/>
    <x v="0"/>
    <n v="1841.25"/>
  </r>
  <r>
    <x v="919"/>
    <x v="915"/>
    <s v="Printer"/>
    <n v="2"/>
    <n v="374.6"/>
    <s v="187 Main St"/>
    <s v="Online"/>
    <n v="3"/>
    <x v="1"/>
    <n v="749.2"/>
  </r>
  <r>
    <x v="920"/>
    <x v="916"/>
    <s v="Tablet"/>
    <n v="2"/>
    <n v="428.09"/>
    <s v="978 Main St"/>
    <s v="Credit Card"/>
    <n v="6"/>
    <x v="0"/>
    <n v="856.18"/>
  </r>
  <r>
    <x v="921"/>
    <x v="917"/>
    <s v="Tablet"/>
    <n v="1"/>
    <n v="438.93"/>
    <s v="144 Main St"/>
    <s v="Gift Card"/>
    <n v="3"/>
    <x v="1"/>
    <n v="438.93"/>
  </r>
  <r>
    <x v="922"/>
    <x v="918"/>
    <s v="Desk"/>
    <n v="2"/>
    <n v="563.82000000000005"/>
    <s v="487 Main St"/>
    <s v="Credit Card"/>
    <n v="3"/>
    <x v="0"/>
    <n v="1127.6400000000001"/>
  </r>
  <r>
    <x v="923"/>
    <x v="919"/>
    <s v="Printer"/>
    <n v="3"/>
    <n v="649.92999999999995"/>
    <s v="836 Main St"/>
    <s v="Credit Card"/>
    <n v="7"/>
    <x v="3"/>
    <n v="1949.79"/>
  </r>
  <r>
    <x v="924"/>
    <x v="920"/>
    <s v="Printer"/>
    <n v="5"/>
    <n v="268.43"/>
    <s v="991 Main St"/>
    <s v="Cash"/>
    <n v="5"/>
    <x v="2"/>
    <n v="1342.15"/>
  </r>
  <r>
    <x v="925"/>
    <x v="921"/>
    <s v="Monitor"/>
    <n v="5"/>
    <n v="502.47"/>
    <s v="304 Main St"/>
    <s v="Online"/>
    <n v="10"/>
    <x v="2"/>
    <n v="2512.35"/>
  </r>
  <r>
    <x v="926"/>
    <x v="922"/>
    <s v="Desk"/>
    <n v="1"/>
    <n v="26.95"/>
    <s v="672 Main St"/>
    <s v="Cash"/>
    <n v="1"/>
    <x v="2"/>
    <n v="26.95"/>
  </r>
  <r>
    <x v="927"/>
    <x v="923"/>
    <s v="Laptop"/>
    <n v="4"/>
    <n v="64.69"/>
    <s v="638 Main St"/>
    <s v="Debit Card"/>
    <n v="7"/>
    <x v="4"/>
    <n v="258.76"/>
  </r>
  <r>
    <x v="928"/>
    <x v="924"/>
    <s v="Laptop"/>
    <n v="3"/>
    <n v="247.11"/>
    <s v="821 Main St"/>
    <s v="Debit Card"/>
    <n v="3"/>
    <x v="1"/>
    <n v="741.33"/>
  </r>
  <r>
    <x v="929"/>
    <x v="925"/>
    <s v="Tablet"/>
    <n v="2"/>
    <n v="536.25"/>
    <s v="553 Main St"/>
    <s v="Debit Card"/>
    <n v="3"/>
    <x v="2"/>
    <n v="1072.5"/>
  </r>
  <r>
    <x v="930"/>
    <x v="926"/>
    <s v="Phone"/>
    <n v="2"/>
    <n v="456.04"/>
    <s v="382 Main St"/>
    <s v="Debit Card"/>
    <n v="4"/>
    <x v="2"/>
    <n v="912.08"/>
  </r>
  <r>
    <x v="931"/>
    <x v="927"/>
    <s v="Printer"/>
    <n v="2"/>
    <n v="40.229999999999997"/>
    <s v="623 Main St"/>
    <s v="Credit Card"/>
    <n v="4"/>
    <x v="4"/>
    <n v="80.459999999999994"/>
  </r>
  <r>
    <x v="932"/>
    <x v="928"/>
    <s v="Laptop"/>
    <n v="2"/>
    <n v="72.39"/>
    <s v="168 Main St"/>
    <s v="Online"/>
    <n v="7"/>
    <x v="0"/>
    <n v="144.78"/>
  </r>
  <r>
    <x v="933"/>
    <x v="929"/>
    <s v="Monitor"/>
    <n v="2"/>
    <n v="394.16"/>
    <s v="255 Main St"/>
    <s v="Online"/>
    <n v="2"/>
    <x v="1"/>
    <n v="788.32"/>
  </r>
  <r>
    <x v="934"/>
    <x v="930"/>
    <s v="Laptop"/>
    <n v="4"/>
    <n v="119.84"/>
    <s v="692 Main St"/>
    <s v="Gift Card"/>
    <n v="8"/>
    <x v="1"/>
    <n v="479.36"/>
  </r>
  <r>
    <x v="935"/>
    <x v="931"/>
    <s v="Phone"/>
    <n v="3"/>
    <n v="692.71"/>
    <s v="398 Main St"/>
    <s v="Credit Card"/>
    <n v="3"/>
    <x v="0"/>
    <n v="2078.13"/>
  </r>
  <r>
    <x v="936"/>
    <x v="932"/>
    <s v="Chair"/>
    <n v="4"/>
    <n v="56.66"/>
    <s v="737 Main St"/>
    <s v="Online"/>
    <n v="4"/>
    <x v="0"/>
    <n v="226.64"/>
  </r>
  <r>
    <x v="937"/>
    <x v="933"/>
    <s v="Chair"/>
    <n v="2"/>
    <n v="298.52999999999997"/>
    <s v="536 Main St"/>
    <s v="Debit Card"/>
    <n v="5"/>
    <x v="2"/>
    <n v="597.05999999999995"/>
  </r>
  <r>
    <x v="938"/>
    <x v="934"/>
    <s v="Chair"/>
    <n v="3"/>
    <n v="331.46"/>
    <s v="696 Main St"/>
    <s v="Credit Card"/>
    <n v="6"/>
    <x v="1"/>
    <n v="994.37999999999988"/>
  </r>
  <r>
    <x v="939"/>
    <x v="935"/>
    <s v="Laptop"/>
    <n v="2"/>
    <n v="521.4"/>
    <s v="212 Main St"/>
    <s v="Cash"/>
    <n v="7"/>
    <x v="0"/>
    <n v="1042.8"/>
  </r>
  <r>
    <x v="940"/>
    <x v="936"/>
    <s v="Printer"/>
    <n v="4"/>
    <n v="305.32"/>
    <s v="679 Main St"/>
    <s v="Online"/>
    <n v="4"/>
    <x v="4"/>
    <n v="1221.28"/>
  </r>
  <r>
    <x v="941"/>
    <x v="439"/>
    <s v="Printer"/>
    <n v="5"/>
    <n v="111.7"/>
    <s v="599 Main St"/>
    <s v="Credit Card"/>
    <n v="9"/>
    <x v="2"/>
    <n v="558.5"/>
  </r>
  <r>
    <x v="942"/>
    <x v="937"/>
    <s v="Tablet"/>
    <n v="1"/>
    <n v="479.76"/>
    <s v="882 Main St"/>
    <s v="Credit Card"/>
    <n v="1"/>
    <x v="2"/>
    <n v="479.76"/>
  </r>
  <r>
    <x v="943"/>
    <x v="938"/>
    <s v="Monitor"/>
    <n v="3"/>
    <n v="193.49"/>
    <s v="355 Main St"/>
    <s v="Gift Card"/>
    <n v="6"/>
    <x v="3"/>
    <n v="580.47"/>
  </r>
  <r>
    <x v="944"/>
    <x v="939"/>
    <s v="Laptop"/>
    <n v="2"/>
    <n v="426.22"/>
    <s v="448 Main St"/>
    <s v="Online"/>
    <n v="7"/>
    <x v="4"/>
    <n v="852.44"/>
  </r>
  <r>
    <x v="945"/>
    <x v="940"/>
    <s v="Tablet"/>
    <n v="5"/>
    <n v="276.44"/>
    <s v="619 Main St"/>
    <s v="Gift Card"/>
    <n v="10"/>
    <x v="1"/>
    <n v="1382.2"/>
  </r>
  <r>
    <x v="946"/>
    <x v="941"/>
    <s v="Phone"/>
    <n v="2"/>
    <n v="404.96"/>
    <s v="546 Main St"/>
    <s v="Cash"/>
    <n v="4"/>
    <x v="2"/>
    <n v="809.92"/>
  </r>
  <r>
    <x v="947"/>
    <x v="942"/>
    <s v="Phone"/>
    <n v="4"/>
    <n v="465.66"/>
    <s v="119 Main St"/>
    <s v="Online"/>
    <n v="9"/>
    <x v="2"/>
    <n v="1862.64"/>
  </r>
  <r>
    <x v="948"/>
    <x v="445"/>
    <s v="Phone"/>
    <n v="2"/>
    <n v="594.07000000000005"/>
    <s v="739 Main St"/>
    <s v="Gift Card"/>
    <n v="2"/>
    <x v="4"/>
    <n v="1188.1400000000001"/>
  </r>
  <r>
    <x v="949"/>
    <x v="943"/>
    <s v="Desk"/>
    <n v="5"/>
    <n v="110.38"/>
    <s v="319 Main St"/>
    <s v="Cash"/>
    <n v="10"/>
    <x v="1"/>
    <n v="551.9"/>
  </r>
  <r>
    <x v="950"/>
    <x v="944"/>
    <s v="Laptop"/>
    <n v="1"/>
    <n v="596.24"/>
    <s v="891 Main St"/>
    <s v="Credit Card"/>
    <n v="4"/>
    <x v="0"/>
    <n v="596.24"/>
  </r>
  <r>
    <x v="951"/>
    <x v="945"/>
    <s v="Printer"/>
    <n v="2"/>
    <n v="306.24"/>
    <s v="589 Main St"/>
    <s v="Online"/>
    <n v="4"/>
    <x v="2"/>
    <n v="612.48"/>
  </r>
  <r>
    <x v="952"/>
    <x v="946"/>
    <s v="Monitor"/>
    <n v="3"/>
    <n v="503.39"/>
    <s v="225 Main St"/>
    <s v="Online"/>
    <n v="5"/>
    <x v="3"/>
    <n v="1510.17"/>
  </r>
  <r>
    <x v="953"/>
    <x v="947"/>
    <s v="Phone"/>
    <n v="1"/>
    <n v="131.61000000000001"/>
    <s v="971 Main St"/>
    <s v="Cash"/>
    <n v="2"/>
    <x v="3"/>
    <n v="131.61000000000001"/>
  </r>
  <r>
    <x v="954"/>
    <x v="948"/>
    <s v="Chair"/>
    <n v="3"/>
    <n v="443.44"/>
    <s v="240 Main St"/>
    <s v="Gift Card"/>
    <n v="3"/>
    <x v="4"/>
    <n v="1330.32"/>
  </r>
  <r>
    <x v="955"/>
    <x v="949"/>
    <s v="Chair"/>
    <n v="1"/>
    <n v="408.13"/>
    <s v="164 Main St"/>
    <s v="Gift Card"/>
    <n v="3"/>
    <x v="0"/>
    <n v="408.13"/>
  </r>
  <r>
    <x v="956"/>
    <x v="781"/>
    <s v="Phone"/>
    <n v="2"/>
    <n v="160.97999999999999"/>
    <s v="381 Main St"/>
    <s v="Debit Card"/>
    <n v="3"/>
    <x v="1"/>
    <n v="321.95999999999998"/>
  </r>
  <r>
    <x v="957"/>
    <x v="950"/>
    <s v="Monitor"/>
    <n v="5"/>
    <n v="643.89"/>
    <s v="851 Main St"/>
    <s v="Cash"/>
    <n v="8"/>
    <x v="3"/>
    <n v="3219.45"/>
  </r>
  <r>
    <x v="958"/>
    <x v="951"/>
    <s v="Desk"/>
    <n v="3"/>
    <n v="158.66"/>
    <s v="537 Main St"/>
    <s v="Gift Card"/>
    <n v="7"/>
    <x v="2"/>
    <n v="475.98"/>
  </r>
  <r>
    <x v="959"/>
    <x v="952"/>
    <s v="Tablet"/>
    <n v="2"/>
    <n v="143.82"/>
    <s v="856 Main St"/>
    <s v="Credit Card"/>
    <n v="6"/>
    <x v="0"/>
    <n v="287.64"/>
  </r>
  <r>
    <x v="960"/>
    <x v="953"/>
    <s v="Laptop"/>
    <n v="3"/>
    <n v="379.07"/>
    <s v="312 Main St"/>
    <s v="Gift Card"/>
    <n v="3"/>
    <x v="4"/>
    <n v="1137.21"/>
  </r>
  <r>
    <x v="961"/>
    <x v="954"/>
    <s v="Phone"/>
    <n v="1"/>
    <n v="601.36"/>
    <s v="532 Main St"/>
    <s v="Online"/>
    <n v="1"/>
    <x v="3"/>
    <n v="601.36"/>
  </r>
  <r>
    <x v="962"/>
    <x v="955"/>
    <s v="Phone"/>
    <n v="2"/>
    <n v="142.08000000000001"/>
    <s v="838 Main St"/>
    <s v="Gift Card"/>
    <n v="4"/>
    <x v="1"/>
    <n v="284.16000000000003"/>
  </r>
  <r>
    <x v="963"/>
    <x v="956"/>
    <s v="Chair"/>
    <n v="5"/>
    <n v="530.34"/>
    <s v="970 Main St"/>
    <s v="Online"/>
    <n v="9"/>
    <x v="4"/>
    <n v="2651.7"/>
  </r>
  <r>
    <x v="964"/>
    <x v="957"/>
    <s v="Phone"/>
    <n v="5"/>
    <n v="364.42"/>
    <s v="778 Main St"/>
    <s v="Credit Card"/>
    <n v="10"/>
    <x v="1"/>
    <n v="1822.1"/>
  </r>
  <r>
    <x v="965"/>
    <x v="958"/>
    <s v="Laptop"/>
    <n v="4"/>
    <n v="578.28"/>
    <s v="791 Main St"/>
    <s v="Gift Card"/>
    <n v="5"/>
    <x v="2"/>
    <n v="2313.12"/>
  </r>
  <r>
    <x v="966"/>
    <x v="959"/>
    <s v="Monitor"/>
    <n v="5"/>
    <n v="280.52"/>
    <s v="290 Main St"/>
    <s v="Credit Card"/>
    <n v="7"/>
    <x v="3"/>
    <n v="1402.6"/>
  </r>
  <r>
    <x v="967"/>
    <x v="960"/>
    <s v="Tablet"/>
    <n v="5"/>
    <n v="638.91999999999996"/>
    <s v="502 Main St"/>
    <s v="Credit Card"/>
    <n v="5"/>
    <x v="4"/>
    <n v="3194.6"/>
  </r>
  <r>
    <x v="968"/>
    <x v="961"/>
    <s v="Monitor"/>
    <n v="4"/>
    <n v="412.2"/>
    <s v="664 Main St"/>
    <s v="Credit Card"/>
    <n v="6"/>
    <x v="1"/>
    <n v="1648.8"/>
  </r>
  <r>
    <x v="969"/>
    <x v="962"/>
    <s v="Desk"/>
    <n v="1"/>
    <n v="440.34"/>
    <s v="675 Main St"/>
    <s v="Gift Card"/>
    <n v="2"/>
    <x v="3"/>
    <n v="440.34"/>
  </r>
  <r>
    <x v="970"/>
    <x v="963"/>
    <s v="Desk"/>
    <n v="1"/>
    <n v="627.15"/>
    <s v="241 Main St"/>
    <s v="Cash"/>
    <n v="5"/>
    <x v="0"/>
    <n v="627.15"/>
  </r>
  <r>
    <x v="971"/>
    <x v="964"/>
    <s v="Monitor"/>
    <n v="2"/>
    <n v="605.26"/>
    <s v="934 Main St"/>
    <s v="Cash"/>
    <n v="4"/>
    <x v="1"/>
    <n v="1210.52"/>
  </r>
  <r>
    <x v="972"/>
    <x v="965"/>
    <s v="Laptop"/>
    <n v="1"/>
    <n v="90.27"/>
    <s v="816 Main St"/>
    <s v="Cash"/>
    <n v="5"/>
    <x v="3"/>
    <n v="90.27"/>
  </r>
  <r>
    <x v="973"/>
    <x v="966"/>
    <s v="Desk"/>
    <n v="5"/>
    <n v="230.77"/>
    <s v="141 Main St"/>
    <s v="Online"/>
    <n v="10"/>
    <x v="1"/>
    <n v="1153.8499999999999"/>
  </r>
  <r>
    <x v="974"/>
    <x v="967"/>
    <s v="Desk"/>
    <n v="5"/>
    <n v="266.77999999999997"/>
    <s v="274 Main St"/>
    <s v="Gift Card"/>
    <n v="5"/>
    <x v="2"/>
    <n v="1333.9"/>
  </r>
  <r>
    <x v="975"/>
    <x v="968"/>
    <s v="Desk"/>
    <n v="1"/>
    <n v="105.92"/>
    <s v="974 Main St"/>
    <s v="Gift Card"/>
    <n v="6"/>
    <x v="2"/>
    <n v="105.92"/>
  </r>
  <r>
    <x v="976"/>
    <x v="969"/>
    <s v="Tablet"/>
    <n v="3"/>
    <n v="589.29999999999995"/>
    <s v="650 Main St"/>
    <s v="Credit Card"/>
    <n v="6"/>
    <x v="1"/>
    <n v="1767.9"/>
  </r>
  <r>
    <x v="977"/>
    <x v="970"/>
    <s v="Chair"/>
    <n v="4"/>
    <n v="649.47"/>
    <s v="608 Main St"/>
    <s v="Cash"/>
    <n v="8"/>
    <x v="4"/>
    <n v="2597.88"/>
  </r>
  <r>
    <x v="978"/>
    <x v="971"/>
    <s v="Printer"/>
    <n v="4"/>
    <n v="107.49"/>
    <s v="993 Main St"/>
    <s v="Cash"/>
    <n v="5"/>
    <x v="4"/>
    <n v="429.96"/>
  </r>
  <r>
    <x v="979"/>
    <x v="972"/>
    <s v="Monitor"/>
    <n v="3"/>
    <n v="669.06"/>
    <s v="299 Main St"/>
    <s v="Cash"/>
    <n v="7"/>
    <x v="3"/>
    <n v="2007.18"/>
  </r>
  <r>
    <x v="980"/>
    <x v="973"/>
    <s v="Chair"/>
    <n v="3"/>
    <n v="69.650000000000006"/>
    <s v="107 Main St"/>
    <s v="Cash"/>
    <n v="7"/>
    <x v="0"/>
    <n v="208.95"/>
  </r>
  <r>
    <x v="981"/>
    <x v="974"/>
    <s v="Phone"/>
    <n v="4"/>
    <n v="136.83000000000001"/>
    <s v="490 Main St"/>
    <s v="Debit Card"/>
    <n v="8"/>
    <x v="2"/>
    <n v="547.32000000000005"/>
  </r>
  <r>
    <x v="982"/>
    <x v="975"/>
    <s v="Monitor"/>
    <n v="1"/>
    <n v="304.11"/>
    <s v="707 Main St"/>
    <s v="Gift Card"/>
    <n v="2"/>
    <x v="1"/>
    <n v="304.11"/>
  </r>
  <r>
    <x v="983"/>
    <x v="976"/>
    <s v="Monitor"/>
    <n v="4"/>
    <n v="296.27999999999997"/>
    <s v="110 Main St"/>
    <s v="Gift Card"/>
    <n v="5"/>
    <x v="2"/>
    <n v="1185.1199999999999"/>
  </r>
  <r>
    <x v="984"/>
    <x v="977"/>
    <s v="Desk"/>
    <n v="1"/>
    <n v="77.64"/>
    <s v="706 Main St"/>
    <s v="Credit Card"/>
    <n v="1"/>
    <x v="3"/>
    <n v="77.64"/>
  </r>
  <r>
    <x v="985"/>
    <x v="978"/>
    <s v="Desk"/>
    <n v="1"/>
    <n v="243.71"/>
    <s v="948 Main St"/>
    <s v="Gift Card"/>
    <n v="6"/>
    <x v="4"/>
    <n v="243.71"/>
  </r>
  <r>
    <x v="986"/>
    <x v="979"/>
    <s v="Laptop"/>
    <n v="4"/>
    <n v="644.96"/>
    <s v="533 Main St"/>
    <s v="Credit Card"/>
    <n v="7"/>
    <x v="2"/>
    <n v="2579.84"/>
  </r>
  <r>
    <x v="987"/>
    <x v="980"/>
    <s v="Phone"/>
    <n v="5"/>
    <n v="283.73"/>
    <s v="436 Main St"/>
    <s v="Gift Card"/>
    <n v="8"/>
    <x v="0"/>
    <n v="1418.65"/>
  </r>
  <r>
    <x v="988"/>
    <x v="981"/>
    <s v="Desk"/>
    <n v="2"/>
    <n v="629.55999999999995"/>
    <s v="818 Main St"/>
    <s v="Gift Card"/>
    <n v="5"/>
    <x v="0"/>
    <n v="1259.1199999999999"/>
  </r>
  <r>
    <x v="989"/>
    <x v="982"/>
    <s v="Laptop"/>
    <n v="4"/>
    <n v="246.11"/>
    <s v="559 Main St"/>
    <s v="Credit Card"/>
    <n v="4"/>
    <x v="0"/>
    <n v="984.44"/>
  </r>
  <r>
    <x v="990"/>
    <x v="983"/>
    <s v="Phone"/>
    <n v="2"/>
    <n v="418.26"/>
    <s v="913 Main St"/>
    <s v="Debit Card"/>
    <n v="2"/>
    <x v="4"/>
    <n v="836.52"/>
  </r>
  <r>
    <x v="991"/>
    <x v="984"/>
    <s v="Desk"/>
    <n v="5"/>
    <n v="127.18"/>
    <s v="598 Main St"/>
    <s v="Debit Card"/>
    <n v="10"/>
    <x v="4"/>
    <n v="635.90000000000009"/>
  </r>
  <r>
    <x v="992"/>
    <x v="985"/>
    <s v="Printer"/>
    <n v="3"/>
    <n v="586.21"/>
    <s v="933 Main St"/>
    <s v="Gift Card"/>
    <n v="4"/>
    <x v="1"/>
    <n v="1758.63"/>
  </r>
  <r>
    <x v="993"/>
    <x v="986"/>
    <s v="Monitor"/>
    <n v="3"/>
    <n v="267.45"/>
    <s v="576 Main St"/>
    <s v="Gift Card"/>
    <n v="5"/>
    <x v="0"/>
    <n v="802.34999999999991"/>
  </r>
  <r>
    <x v="994"/>
    <x v="987"/>
    <s v="Tablet"/>
    <n v="4"/>
    <n v="615.65"/>
    <s v="971 Main St"/>
    <s v="Debit Card"/>
    <n v="9"/>
    <x v="4"/>
    <n v="2462.6"/>
  </r>
  <r>
    <x v="995"/>
    <x v="988"/>
    <s v="Monitor"/>
    <n v="2"/>
    <n v="113.29"/>
    <s v="959 Main St"/>
    <s v="Cash"/>
    <n v="5"/>
    <x v="3"/>
    <n v="226.58"/>
  </r>
  <r>
    <x v="996"/>
    <x v="989"/>
    <s v="Monitor"/>
    <n v="4"/>
    <n v="473.86"/>
    <s v="101 Main St"/>
    <s v="Debit Card"/>
    <n v="7"/>
    <x v="3"/>
    <n v="1895.44"/>
  </r>
  <r>
    <x v="997"/>
    <x v="990"/>
    <s v="Laptop"/>
    <n v="3"/>
    <n v="444.75"/>
    <s v="805 Main St"/>
    <s v="Cash"/>
    <n v="6"/>
    <x v="3"/>
    <n v="1334.25"/>
  </r>
  <r>
    <x v="998"/>
    <x v="991"/>
    <s v="Phone"/>
    <n v="2"/>
    <n v="183.67"/>
    <s v="783 Main St"/>
    <s v="Debit Card"/>
    <n v="6"/>
    <x v="4"/>
    <n v="367.34"/>
  </r>
  <r>
    <x v="999"/>
    <x v="992"/>
    <s v="Printer"/>
    <n v="1"/>
    <n v="483.38"/>
    <s v="652 Main St"/>
    <s v="Cash"/>
    <n v="6"/>
    <x v="4"/>
    <n v="483.38"/>
  </r>
  <r>
    <x v="1000"/>
    <x v="993"/>
    <s v="Printer"/>
    <n v="5"/>
    <n v="260.93"/>
    <s v="582 Main St"/>
    <s v="Online"/>
    <n v="9"/>
    <x v="2"/>
    <n v="1304.6500000000001"/>
  </r>
  <r>
    <x v="1001"/>
    <x v="994"/>
    <s v="Printer"/>
    <n v="2"/>
    <n v="253.68"/>
    <s v="122 Main St"/>
    <s v="Gift Card"/>
    <n v="6"/>
    <x v="1"/>
    <n v="507.36"/>
  </r>
  <r>
    <x v="1002"/>
    <x v="995"/>
    <s v="Tablet"/>
    <n v="4"/>
    <n v="699.88"/>
    <s v="944 Main St"/>
    <s v="Cash"/>
    <n v="5"/>
    <x v="1"/>
    <n v="2799.52"/>
  </r>
  <r>
    <x v="1003"/>
    <x v="996"/>
    <s v="Printer"/>
    <n v="5"/>
    <n v="319.97000000000003"/>
    <s v="582 Main St"/>
    <s v="Cash"/>
    <n v="7"/>
    <x v="4"/>
    <n v="1599.85"/>
  </r>
  <r>
    <x v="1004"/>
    <x v="997"/>
    <s v="Chair"/>
    <n v="4"/>
    <n v="246.91"/>
    <s v="296 Main St"/>
    <s v="Online"/>
    <n v="8"/>
    <x v="1"/>
    <n v="987.64"/>
  </r>
  <r>
    <x v="1005"/>
    <x v="998"/>
    <s v="Printer"/>
    <n v="3"/>
    <n v="392.85"/>
    <s v="426 Main St"/>
    <s v="Credit Card"/>
    <n v="6"/>
    <x v="4"/>
    <n v="1178.55"/>
  </r>
  <r>
    <x v="1006"/>
    <x v="999"/>
    <s v="Tablet"/>
    <n v="5"/>
    <n v="420.98"/>
    <s v="860 Main St"/>
    <s v="Cash"/>
    <n v="7"/>
    <x v="3"/>
    <n v="2104.9"/>
  </r>
  <r>
    <x v="1007"/>
    <x v="485"/>
    <s v="Monitor"/>
    <n v="2"/>
    <n v="73.260000000000005"/>
    <s v="839 Main St"/>
    <s v="Cash"/>
    <n v="4"/>
    <x v="3"/>
    <n v="146.52000000000001"/>
  </r>
  <r>
    <x v="1008"/>
    <x v="1000"/>
    <s v="Monitor"/>
    <n v="3"/>
    <n v="410.88"/>
    <s v="257 Main St"/>
    <s v="Cash"/>
    <n v="8"/>
    <x v="0"/>
    <n v="1232.6400000000001"/>
  </r>
  <r>
    <x v="1009"/>
    <x v="1001"/>
    <s v="Tablet"/>
    <n v="2"/>
    <n v="176.46"/>
    <s v="696 Main St"/>
    <s v="Credit Card"/>
    <n v="2"/>
    <x v="2"/>
    <n v="352.92"/>
  </r>
  <r>
    <x v="1010"/>
    <x v="1002"/>
    <s v="Monitor"/>
    <n v="3"/>
    <n v="659.57"/>
    <s v="533 Main St"/>
    <s v="Credit Card"/>
    <n v="6"/>
    <x v="2"/>
    <n v="1978.71"/>
  </r>
  <r>
    <x v="1011"/>
    <x v="1003"/>
    <s v="Phone"/>
    <n v="2"/>
    <n v="478.36"/>
    <s v="654 Main St"/>
    <s v="Online"/>
    <n v="3"/>
    <x v="4"/>
    <n v="956.72"/>
  </r>
  <r>
    <x v="1012"/>
    <x v="1004"/>
    <s v="Printer"/>
    <n v="4"/>
    <n v="30.05"/>
    <s v="301 Main St"/>
    <s v="Online"/>
    <n v="6"/>
    <x v="3"/>
    <n v="120.2"/>
  </r>
  <r>
    <x v="1013"/>
    <x v="1005"/>
    <s v="Laptop"/>
    <n v="4"/>
    <n v="300.56"/>
    <s v="842 Main St"/>
    <s v="Cash"/>
    <n v="9"/>
    <x v="3"/>
    <n v="1202.24"/>
  </r>
  <r>
    <x v="1014"/>
    <x v="1006"/>
    <s v="Tablet"/>
    <n v="5"/>
    <n v="226.45"/>
    <s v="160 Main St"/>
    <s v="Debit Card"/>
    <n v="6"/>
    <x v="2"/>
    <n v="1132.25"/>
  </r>
  <r>
    <x v="1015"/>
    <x v="1007"/>
    <s v="Printer"/>
    <n v="2"/>
    <n v="349.4"/>
    <s v="892 Main St"/>
    <s v="Online"/>
    <n v="2"/>
    <x v="0"/>
    <n v="698.8"/>
  </r>
  <r>
    <x v="1016"/>
    <x v="1008"/>
    <s v="Tablet"/>
    <n v="5"/>
    <n v="268.77999999999997"/>
    <s v="669 Main St"/>
    <s v="Debit Card"/>
    <n v="7"/>
    <x v="2"/>
    <n v="1343.9"/>
  </r>
  <r>
    <x v="1017"/>
    <x v="1009"/>
    <s v="Chair"/>
    <n v="2"/>
    <n v="680.85"/>
    <s v="953 Main St"/>
    <s v="Gift Card"/>
    <n v="6"/>
    <x v="1"/>
    <n v="1361.7"/>
  </r>
  <r>
    <x v="1018"/>
    <x v="1010"/>
    <s v="Laptop"/>
    <n v="3"/>
    <n v="182.48"/>
    <s v="209 Main St"/>
    <s v="Cash"/>
    <n v="3"/>
    <x v="0"/>
    <n v="547.43999999999994"/>
  </r>
  <r>
    <x v="1019"/>
    <x v="1011"/>
    <s v="Desk"/>
    <n v="1"/>
    <n v="277.08999999999997"/>
    <s v="293 Main St"/>
    <s v="Cash"/>
    <n v="2"/>
    <x v="1"/>
    <n v="277.08999999999997"/>
  </r>
  <r>
    <x v="1020"/>
    <x v="1012"/>
    <s v="Tablet"/>
    <n v="2"/>
    <n v="26.5"/>
    <s v="312 Main St"/>
    <s v="Online"/>
    <n v="3"/>
    <x v="0"/>
    <n v="53"/>
  </r>
  <r>
    <x v="1021"/>
    <x v="1013"/>
    <s v="Phone"/>
    <n v="3"/>
    <n v="315.27"/>
    <s v="309 Main St"/>
    <s v="Credit Card"/>
    <n v="4"/>
    <x v="2"/>
    <n v="945.81"/>
  </r>
  <r>
    <x v="1022"/>
    <x v="1014"/>
    <s v="Tablet"/>
    <n v="3"/>
    <n v="450.98"/>
    <s v="396 Main St"/>
    <s v="Credit Card"/>
    <n v="8"/>
    <x v="1"/>
    <n v="1352.94"/>
  </r>
  <r>
    <x v="1023"/>
    <x v="1015"/>
    <s v="Laptop"/>
    <n v="5"/>
    <n v="233.67"/>
    <s v="291 Main St"/>
    <s v="Cash"/>
    <n v="10"/>
    <x v="1"/>
    <n v="1168.3499999999999"/>
  </r>
  <r>
    <x v="1024"/>
    <x v="1016"/>
    <s v="Chair"/>
    <n v="3"/>
    <n v="367.75"/>
    <s v="731 Main St"/>
    <s v="Cash"/>
    <n v="7"/>
    <x v="3"/>
    <n v="1103.25"/>
  </r>
  <r>
    <x v="1025"/>
    <x v="1017"/>
    <s v="Chair"/>
    <n v="1"/>
    <n v="23.53"/>
    <s v="174 Main St"/>
    <s v="Gift Card"/>
    <n v="2"/>
    <x v="0"/>
    <n v="23.53"/>
  </r>
  <r>
    <x v="1026"/>
    <x v="1018"/>
    <s v="Monitor"/>
    <n v="1"/>
    <n v="677.48"/>
    <s v="807 Main St"/>
    <s v="Online"/>
    <n v="1"/>
    <x v="3"/>
    <n v="677.48"/>
  </r>
  <r>
    <x v="1027"/>
    <x v="1019"/>
    <s v="Laptop"/>
    <n v="4"/>
    <n v="554.83000000000004"/>
    <s v="983 Main St"/>
    <s v="Cash"/>
    <n v="6"/>
    <x v="4"/>
    <n v="2219.3200000000002"/>
  </r>
  <r>
    <x v="1028"/>
    <x v="1020"/>
    <s v="Desk"/>
    <n v="4"/>
    <n v="440.31"/>
    <s v="610 Main St"/>
    <s v="Cash"/>
    <n v="6"/>
    <x v="0"/>
    <n v="1761.24"/>
  </r>
  <r>
    <x v="1029"/>
    <x v="1021"/>
    <s v="Desk"/>
    <n v="1"/>
    <n v="87.06"/>
    <s v="851 Main St"/>
    <s v="Credit Card"/>
    <n v="4"/>
    <x v="2"/>
    <n v="87.06"/>
  </r>
  <r>
    <x v="1030"/>
    <x v="1022"/>
    <s v="Phone"/>
    <n v="4"/>
    <n v="245.28"/>
    <s v="176 Main St"/>
    <s v="Credit Card"/>
    <n v="6"/>
    <x v="2"/>
    <n v="981.12"/>
  </r>
  <r>
    <x v="1031"/>
    <x v="1023"/>
    <s v="Phone"/>
    <n v="5"/>
    <n v="664.51"/>
    <s v="136 Main St"/>
    <s v="Debit Card"/>
    <n v="8"/>
    <x v="2"/>
    <n v="3322.55"/>
  </r>
  <r>
    <x v="1032"/>
    <x v="1024"/>
    <s v="Chair"/>
    <n v="1"/>
    <n v="618.67999999999995"/>
    <s v="990 Main St"/>
    <s v="Online"/>
    <n v="6"/>
    <x v="1"/>
    <n v="618.67999999999995"/>
  </r>
  <r>
    <x v="1033"/>
    <x v="1025"/>
    <s v="Monitor"/>
    <n v="1"/>
    <n v="370.85"/>
    <s v="331 Main St"/>
    <s v="Gift Card"/>
    <n v="2"/>
    <x v="1"/>
    <n v="370.85"/>
  </r>
  <r>
    <x v="1034"/>
    <x v="1026"/>
    <s v="Printer"/>
    <n v="4"/>
    <n v="517.98"/>
    <s v="766 Main St"/>
    <s v="Cash"/>
    <n v="8"/>
    <x v="3"/>
    <n v="2071.92"/>
  </r>
  <r>
    <x v="1035"/>
    <x v="1027"/>
    <s v="Laptop"/>
    <n v="4"/>
    <n v="506.11"/>
    <s v="911 Main St"/>
    <s v="Cash"/>
    <n v="5"/>
    <x v="1"/>
    <n v="2024.44"/>
  </r>
  <r>
    <x v="1036"/>
    <x v="1028"/>
    <s v="Phone"/>
    <n v="3"/>
    <n v="413.83"/>
    <s v="552 Main St"/>
    <s v="Gift Card"/>
    <n v="8"/>
    <x v="3"/>
    <n v="1241.49"/>
  </r>
  <r>
    <x v="1037"/>
    <x v="1029"/>
    <s v="Printer"/>
    <n v="1"/>
    <n v="249.81"/>
    <s v="408 Main St"/>
    <s v="Cash"/>
    <n v="1"/>
    <x v="4"/>
    <n v="249.81"/>
  </r>
  <r>
    <x v="1038"/>
    <x v="1030"/>
    <s v="Tablet"/>
    <n v="3"/>
    <n v="362.53"/>
    <s v="422 Main St"/>
    <s v="Debit Card"/>
    <n v="5"/>
    <x v="3"/>
    <n v="1087.5899999999999"/>
  </r>
  <r>
    <x v="1039"/>
    <x v="1031"/>
    <s v="Desk"/>
    <n v="2"/>
    <n v="299.23"/>
    <s v="177 Main St"/>
    <s v="Credit Card"/>
    <n v="2"/>
    <x v="0"/>
    <n v="598.46"/>
  </r>
  <r>
    <x v="1040"/>
    <x v="1032"/>
    <s v="Tablet"/>
    <n v="1"/>
    <n v="536.07000000000005"/>
    <s v="932 Main St"/>
    <s v="Debit Card"/>
    <n v="5"/>
    <x v="4"/>
    <n v="536.07000000000005"/>
  </r>
  <r>
    <x v="1041"/>
    <x v="1033"/>
    <s v="Monitor"/>
    <n v="4"/>
    <n v="558.9"/>
    <s v="948 Main St"/>
    <s v="Gift Card"/>
    <n v="9"/>
    <x v="4"/>
    <n v="2235.6"/>
  </r>
  <r>
    <x v="1042"/>
    <x v="1034"/>
    <s v="Tablet"/>
    <n v="2"/>
    <n v="409.75"/>
    <s v="414 Main St"/>
    <s v="Debit Card"/>
    <n v="2"/>
    <x v="3"/>
    <n v="819.5"/>
  </r>
  <r>
    <x v="1043"/>
    <x v="1035"/>
    <s v="Tablet"/>
    <n v="2"/>
    <n v="179.96"/>
    <s v="675 Main St"/>
    <s v="Gift Card"/>
    <n v="5"/>
    <x v="0"/>
    <n v="359.92"/>
  </r>
  <r>
    <x v="1044"/>
    <x v="1036"/>
    <s v="Printer"/>
    <n v="1"/>
    <n v="38.49"/>
    <s v="215 Main St"/>
    <s v="Credit Card"/>
    <n v="4"/>
    <x v="1"/>
    <n v="38.49"/>
  </r>
  <r>
    <x v="1045"/>
    <x v="1037"/>
    <s v="Laptop"/>
    <n v="5"/>
    <n v="316.39999999999998"/>
    <s v="671 Main St"/>
    <s v="Gift Card"/>
    <n v="7"/>
    <x v="2"/>
    <n v="1582"/>
  </r>
  <r>
    <x v="1046"/>
    <x v="1038"/>
    <s v="Tablet"/>
    <n v="3"/>
    <n v="547.15"/>
    <s v="466 Main St"/>
    <s v="Online"/>
    <n v="4"/>
    <x v="0"/>
    <n v="1641.45"/>
  </r>
  <r>
    <x v="1047"/>
    <x v="1039"/>
    <s v="Chair"/>
    <n v="4"/>
    <n v="540.34"/>
    <s v="394 Main St"/>
    <s v="Gift Card"/>
    <n v="6"/>
    <x v="1"/>
    <n v="2161.36"/>
  </r>
  <r>
    <x v="1048"/>
    <x v="1040"/>
    <s v="Monitor"/>
    <n v="4"/>
    <n v="73.650000000000006"/>
    <s v="889 Main St"/>
    <s v="Debit Card"/>
    <n v="9"/>
    <x v="4"/>
    <n v="294.60000000000002"/>
  </r>
  <r>
    <x v="1049"/>
    <x v="1041"/>
    <s v="Desk"/>
    <n v="5"/>
    <n v="391.86"/>
    <s v="587 Main St"/>
    <s v="Credit Card"/>
    <n v="6"/>
    <x v="0"/>
    <n v="1959.3"/>
  </r>
  <r>
    <x v="1050"/>
    <x v="1042"/>
    <s v="Laptop"/>
    <n v="5"/>
    <n v="69.7"/>
    <s v="722 Main St"/>
    <s v="Online"/>
    <n v="9"/>
    <x v="0"/>
    <n v="348.5"/>
  </r>
  <r>
    <x v="1051"/>
    <x v="1043"/>
    <s v="Monitor"/>
    <n v="5"/>
    <n v="26.43"/>
    <s v="820 Main St"/>
    <s v="Gift Card"/>
    <n v="5"/>
    <x v="3"/>
    <n v="132.15"/>
  </r>
  <r>
    <x v="1052"/>
    <x v="1044"/>
    <s v="Tablet"/>
    <n v="1"/>
    <n v="531.74"/>
    <s v="493 Main St"/>
    <s v="Online"/>
    <n v="1"/>
    <x v="4"/>
    <n v="531.74"/>
  </r>
  <r>
    <x v="1053"/>
    <x v="1045"/>
    <s v="Phone"/>
    <n v="2"/>
    <n v="496.62"/>
    <s v="679 Main St"/>
    <s v="Online"/>
    <n v="2"/>
    <x v="0"/>
    <n v="993.24"/>
  </r>
  <r>
    <x v="1054"/>
    <x v="1046"/>
    <s v="Printer"/>
    <n v="1"/>
    <n v="660.66"/>
    <s v="447 Main St"/>
    <s v="Debit Card"/>
    <n v="3"/>
    <x v="0"/>
    <n v="660.66"/>
  </r>
  <r>
    <x v="1055"/>
    <x v="1047"/>
    <s v="Monitor"/>
    <n v="4"/>
    <n v="274.82"/>
    <s v="932 Main St"/>
    <s v="Debit Card"/>
    <n v="9"/>
    <x v="2"/>
    <n v="1099.28"/>
  </r>
  <r>
    <x v="1056"/>
    <x v="1048"/>
    <s v="Phone"/>
    <n v="2"/>
    <n v="486.35"/>
    <s v="790 Main St"/>
    <s v="Online"/>
    <n v="6"/>
    <x v="1"/>
    <n v="972.7"/>
  </r>
  <r>
    <x v="1057"/>
    <x v="1049"/>
    <s v="Laptop"/>
    <n v="3"/>
    <n v="428.88"/>
    <s v="535 Main St"/>
    <s v="Debit Card"/>
    <n v="3"/>
    <x v="3"/>
    <n v="1286.6400000000001"/>
  </r>
  <r>
    <x v="1058"/>
    <x v="1050"/>
    <s v="Desk"/>
    <n v="2"/>
    <n v="412.14"/>
    <s v="127 Main St"/>
    <s v="Credit Card"/>
    <n v="2"/>
    <x v="0"/>
    <n v="824.28"/>
  </r>
  <r>
    <x v="1059"/>
    <x v="1051"/>
    <s v="Desk"/>
    <n v="1"/>
    <n v="265.64"/>
    <s v="601 Main St"/>
    <s v="Credit Card"/>
    <n v="3"/>
    <x v="0"/>
    <n v="265.64"/>
  </r>
  <r>
    <x v="1060"/>
    <x v="1052"/>
    <s v="Tablet"/>
    <n v="2"/>
    <n v="273.43"/>
    <s v="824 Main St"/>
    <s v="Cash"/>
    <n v="7"/>
    <x v="1"/>
    <n v="546.86"/>
  </r>
  <r>
    <x v="1061"/>
    <x v="1053"/>
    <s v="Laptop"/>
    <n v="5"/>
    <n v="131.69999999999999"/>
    <s v="830 Main St"/>
    <s v="Cash"/>
    <n v="8"/>
    <x v="4"/>
    <n v="658.5"/>
  </r>
  <r>
    <x v="1062"/>
    <x v="1054"/>
    <s v="Chair"/>
    <n v="5"/>
    <n v="85.52"/>
    <s v="301 Main St"/>
    <s v="Gift Card"/>
    <n v="5"/>
    <x v="3"/>
    <n v="427.6"/>
  </r>
  <r>
    <x v="1063"/>
    <x v="1055"/>
    <s v="Desk"/>
    <n v="2"/>
    <n v="320.68"/>
    <s v="336 Main St"/>
    <s v="Credit Card"/>
    <n v="5"/>
    <x v="1"/>
    <n v="641.36"/>
  </r>
  <r>
    <x v="1064"/>
    <x v="1056"/>
    <s v="Laptop"/>
    <n v="4"/>
    <n v="198.81"/>
    <s v="654 Main St"/>
    <s v="Cash"/>
    <n v="9"/>
    <x v="1"/>
    <n v="795.24"/>
  </r>
  <r>
    <x v="1065"/>
    <x v="1057"/>
    <s v="Printer"/>
    <n v="5"/>
    <n v="666.8"/>
    <s v="488 Main St"/>
    <s v="Debit Card"/>
    <n v="7"/>
    <x v="1"/>
    <n v="3334"/>
  </r>
  <r>
    <x v="1066"/>
    <x v="1058"/>
    <s v="Desk"/>
    <n v="1"/>
    <n v="355.09"/>
    <s v="674 Main St"/>
    <s v="Debit Card"/>
    <n v="5"/>
    <x v="0"/>
    <n v="355.09"/>
  </r>
  <r>
    <x v="1067"/>
    <x v="1059"/>
    <s v="Phone"/>
    <n v="2"/>
    <n v="316.2"/>
    <s v="384 Main St"/>
    <s v="Online"/>
    <n v="2"/>
    <x v="0"/>
    <n v="632.4"/>
  </r>
  <r>
    <x v="1068"/>
    <x v="1060"/>
    <s v="Laptop"/>
    <n v="1"/>
    <n v="133.38999999999999"/>
    <s v="469 Main St"/>
    <s v="Debit Card"/>
    <n v="2"/>
    <x v="1"/>
    <n v="133.38999999999999"/>
  </r>
  <r>
    <x v="1069"/>
    <x v="1061"/>
    <s v="Monitor"/>
    <n v="1"/>
    <n v="454.23"/>
    <s v="255 Main St"/>
    <s v="Gift Card"/>
    <n v="3"/>
    <x v="3"/>
    <n v="454.23"/>
  </r>
  <r>
    <x v="1070"/>
    <x v="1062"/>
    <s v="Desk"/>
    <n v="4"/>
    <n v="491.29"/>
    <s v="496 Main St"/>
    <s v="Debit Card"/>
    <n v="6"/>
    <x v="2"/>
    <n v="1965.16"/>
  </r>
  <r>
    <x v="1071"/>
    <x v="1063"/>
    <s v="Phone"/>
    <n v="2"/>
    <n v="255.14"/>
    <s v="216 Main St"/>
    <s v="Cash"/>
    <n v="2"/>
    <x v="4"/>
    <n v="510.28"/>
  </r>
  <r>
    <x v="1072"/>
    <x v="1064"/>
    <s v="Monitor"/>
    <n v="1"/>
    <n v="392.61"/>
    <s v="977 Main St"/>
    <s v="Gift Card"/>
    <n v="4"/>
    <x v="1"/>
    <n v="392.61"/>
  </r>
  <r>
    <x v="1073"/>
    <x v="1065"/>
    <s v="Tablet"/>
    <n v="4"/>
    <n v="362.06"/>
    <s v="294 Main St"/>
    <s v="Debit Card"/>
    <n v="4"/>
    <x v="3"/>
    <n v="1448.24"/>
  </r>
  <r>
    <x v="1074"/>
    <x v="1066"/>
    <s v="Phone"/>
    <n v="1"/>
    <n v="222.73"/>
    <s v="120 Main St"/>
    <s v="Online"/>
    <n v="4"/>
    <x v="4"/>
    <n v="222.73"/>
  </r>
  <r>
    <x v="1075"/>
    <x v="1067"/>
    <s v="Monitor"/>
    <n v="2"/>
    <n v="552.63"/>
    <s v="609 Main St"/>
    <s v="Debit Card"/>
    <n v="7"/>
    <x v="0"/>
    <n v="1105.26"/>
  </r>
  <r>
    <x v="1076"/>
    <x v="1068"/>
    <s v="Laptop"/>
    <n v="4"/>
    <n v="686.61"/>
    <s v="176 Main St"/>
    <s v="Cash"/>
    <n v="6"/>
    <x v="1"/>
    <n v="2746.44"/>
  </r>
  <r>
    <x v="1077"/>
    <x v="1069"/>
    <s v="Printer"/>
    <n v="3"/>
    <n v="305.16000000000003"/>
    <s v="115 Main St"/>
    <s v="Credit Card"/>
    <n v="8"/>
    <x v="1"/>
    <n v="915.48"/>
  </r>
  <r>
    <x v="1078"/>
    <x v="1070"/>
    <s v="Desk"/>
    <n v="1"/>
    <n v="41.09"/>
    <s v="881 Main St"/>
    <s v="Online"/>
    <n v="4"/>
    <x v="2"/>
    <n v="41.09"/>
  </r>
  <r>
    <x v="1079"/>
    <x v="1071"/>
    <s v="Phone"/>
    <n v="5"/>
    <n v="634"/>
    <s v="144 Main St"/>
    <s v="Gift Card"/>
    <n v="8"/>
    <x v="2"/>
    <n v="3170"/>
  </r>
  <r>
    <x v="1080"/>
    <x v="1072"/>
    <s v="Laptop"/>
    <n v="5"/>
    <n v="464.74"/>
    <s v="438 Main St"/>
    <s v="Gift Card"/>
    <n v="7"/>
    <x v="1"/>
    <n v="2323.6999999999998"/>
  </r>
  <r>
    <x v="1081"/>
    <x v="1073"/>
    <s v="Monitor"/>
    <n v="4"/>
    <n v="425.6"/>
    <s v="494 Main St"/>
    <s v="Credit Card"/>
    <n v="5"/>
    <x v="4"/>
    <n v="1702.4"/>
  </r>
  <r>
    <x v="1082"/>
    <x v="1074"/>
    <s v="Chair"/>
    <n v="3"/>
    <n v="573.22"/>
    <s v="177 Main St"/>
    <s v="Debit Card"/>
    <n v="5"/>
    <x v="2"/>
    <n v="1719.66"/>
  </r>
  <r>
    <x v="1083"/>
    <x v="1075"/>
    <s v="Chair"/>
    <n v="1"/>
    <n v="123.28"/>
    <s v="895 Main St"/>
    <s v="Credit Card"/>
    <n v="3"/>
    <x v="2"/>
    <n v="123.28"/>
  </r>
  <r>
    <x v="1084"/>
    <x v="1076"/>
    <s v="Phone"/>
    <n v="1"/>
    <n v="70.819999999999993"/>
    <s v="128 Main St"/>
    <s v="Gift Card"/>
    <n v="1"/>
    <x v="0"/>
    <n v="70.819999999999993"/>
  </r>
  <r>
    <x v="1085"/>
    <x v="1077"/>
    <s v="Printer"/>
    <n v="2"/>
    <n v="646.69000000000005"/>
    <s v="404 Main St"/>
    <s v="Debit Card"/>
    <n v="7"/>
    <x v="0"/>
    <n v="1293.3800000000001"/>
  </r>
  <r>
    <x v="1086"/>
    <x v="1078"/>
    <s v="Tablet"/>
    <n v="2"/>
    <n v="513.41999999999996"/>
    <s v="401 Main St"/>
    <s v="Online"/>
    <n v="5"/>
    <x v="0"/>
    <n v="1026.8399999999999"/>
  </r>
  <r>
    <x v="1087"/>
    <x v="1079"/>
    <s v="Laptop"/>
    <n v="4"/>
    <n v="693.07"/>
    <s v="530 Main St"/>
    <s v="Online"/>
    <n v="8"/>
    <x v="0"/>
    <n v="2772.28"/>
  </r>
  <r>
    <x v="1088"/>
    <x v="1080"/>
    <s v="Desk"/>
    <n v="3"/>
    <n v="491.43"/>
    <s v="213 Main St"/>
    <s v="Gift Card"/>
    <n v="6"/>
    <x v="0"/>
    <n v="1474.29"/>
  </r>
  <r>
    <x v="1089"/>
    <x v="1081"/>
    <s v="Tablet"/>
    <n v="2"/>
    <n v="599.74"/>
    <s v="440 Main St"/>
    <s v="Gift Card"/>
    <n v="2"/>
    <x v="0"/>
    <n v="1199.48"/>
  </r>
  <r>
    <x v="1090"/>
    <x v="1082"/>
    <s v="Monitor"/>
    <n v="2"/>
    <n v="650.25"/>
    <s v="996 Main St"/>
    <s v="Gift Card"/>
    <n v="6"/>
    <x v="0"/>
    <n v="1300.5"/>
  </r>
  <r>
    <x v="1091"/>
    <x v="1083"/>
    <s v="Laptop"/>
    <n v="3"/>
    <n v="209.48"/>
    <s v="123 Main St"/>
    <s v="Debit Card"/>
    <n v="4"/>
    <x v="2"/>
    <n v="628.43999999999994"/>
  </r>
  <r>
    <x v="1092"/>
    <x v="1084"/>
    <s v="Laptop"/>
    <n v="5"/>
    <n v="209.2"/>
    <s v="930 Main St"/>
    <s v="Debit Card"/>
    <n v="6"/>
    <x v="2"/>
    <n v="1046"/>
  </r>
  <r>
    <x v="1093"/>
    <x v="1085"/>
    <s v="Phone"/>
    <n v="4"/>
    <n v="197.36"/>
    <s v="557 Main St"/>
    <s v="Gift Card"/>
    <n v="9"/>
    <x v="0"/>
    <n v="789.44"/>
  </r>
  <r>
    <x v="1094"/>
    <x v="1086"/>
    <s v="Printer"/>
    <n v="4"/>
    <n v="648.91"/>
    <s v="615 Main St"/>
    <s v="Credit Card"/>
    <n v="6"/>
    <x v="0"/>
    <n v="2595.64"/>
  </r>
  <r>
    <x v="1095"/>
    <x v="1087"/>
    <s v="Phone"/>
    <n v="2"/>
    <n v="441.54"/>
    <s v="397 Main St"/>
    <s v="Online"/>
    <n v="2"/>
    <x v="2"/>
    <n v="883.08"/>
  </r>
  <r>
    <x v="1096"/>
    <x v="1088"/>
    <s v="Tablet"/>
    <n v="2"/>
    <n v="464.92"/>
    <s v="782 Main St"/>
    <s v="Debit Card"/>
    <n v="2"/>
    <x v="3"/>
    <n v="929.84"/>
  </r>
  <r>
    <x v="1097"/>
    <x v="1089"/>
    <s v="Monitor"/>
    <n v="5"/>
    <n v="506.45"/>
    <s v="344 Main St"/>
    <s v="Gift Card"/>
    <n v="7"/>
    <x v="4"/>
    <n v="2532.25"/>
  </r>
  <r>
    <x v="1098"/>
    <x v="1090"/>
    <s v="Monitor"/>
    <n v="4"/>
    <n v="255.86"/>
    <s v="155 Main St"/>
    <s v="Credit Card"/>
    <n v="7"/>
    <x v="2"/>
    <n v="1023.44"/>
  </r>
  <r>
    <x v="1099"/>
    <x v="1091"/>
    <s v="Laptop"/>
    <n v="2"/>
    <n v="125.23"/>
    <s v="272 Main St"/>
    <s v="Cash"/>
    <n v="3"/>
    <x v="2"/>
    <n v="250.46"/>
  </r>
  <r>
    <x v="1100"/>
    <x v="1092"/>
    <s v="Laptop"/>
    <n v="5"/>
    <n v="38.11"/>
    <s v="428 Main St"/>
    <s v="Debit Card"/>
    <n v="6"/>
    <x v="0"/>
    <n v="190.55"/>
  </r>
  <r>
    <x v="1101"/>
    <x v="1093"/>
    <s v="Monitor"/>
    <n v="3"/>
    <n v="161.97"/>
    <s v="904 Main St"/>
    <s v="Cash"/>
    <n v="4"/>
    <x v="2"/>
    <n v="485.91"/>
  </r>
  <r>
    <x v="1102"/>
    <x v="14"/>
    <s v="Chair"/>
    <n v="4"/>
    <n v="347.17"/>
    <s v="997 Main St"/>
    <s v="Debit Card"/>
    <n v="8"/>
    <x v="0"/>
    <n v="1388.68"/>
  </r>
  <r>
    <x v="1103"/>
    <x v="1094"/>
    <s v="Laptop"/>
    <n v="4"/>
    <n v="276.32"/>
    <s v="129 Main St"/>
    <s v="Online"/>
    <n v="5"/>
    <x v="4"/>
    <n v="1105.28"/>
  </r>
  <r>
    <x v="1104"/>
    <x v="1095"/>
    <s v="Tablet"/>
    <n v="4"/>
    <n v="314.76"/>
    <s v="850 Main St"/>
    <s v="Online"/>
    <n v="8"/>
    <x v="0"/>
    <n v="1259.04"/>
  </r>
  <r>
    <x v="1105"/>
    <x v="1096"/>
    <s v="Tablet"/>
    <n v="3"/>
    <n v="475.69"/>
    <s v="884 Main St"/>
    <s v="Gift Card"/>
    <n v="3"/>
    <x v="4"/>
    <n v="1427.07"/>
  </r>
  <r>
    <x v="1106"/>
    <x v="1097"/>
    <s v="Chair"/>
    <n v="1"/>
    <n v="372.8"/>
    <s v="903 Main St"/>
    <s v="Cash"/>
    <n v="6"/>
    <x v="3"/>
    <n v="372.8"/>
  </r>
  <r>
    <x v="1107"/>
    <x v="1098"/>
    <s v="Tablet"/>
    <n v="2"/>
    <n v="63.21"/>
    <s v="282 Main St"/>
    <s v="Online"/>
    <n v="4"/>
    <x v="4"/>
    <n v="126.42"/>
  </r>
  <r>
    <x v="1108"/>
    <x v="1099"/>
    <s v="Laptop"/>
    <n v="1"/>
    <n v="634.94000000000005"/>
    <s v="462 Main St"/>
    <s v="Online"/>
    <n v="5"/>
    <x v="0"/>
    <n v="634.94000000000005"/>
  </r>
  <r>
    <x v="1109"/>
    <x v="1100"/>
    <s v="Printer"/>
    <n v="4"/>
    <n v="77.47"/>
    <s v="474 Main St"/>
    <s v="Gift Card"/>
    <n v="7"/>
    <x v="0"/>
    <n v="309.88"/>
  </r>
  <r>
    <x v="1110"/>
    <x v="1101"/>
    <s v="Chair"/>
    <n v="3"/>
    <n v="84.31"/>
    <s v="912 Main St"/>
    <s v="Credit Card"/>
    <n v="3"/>
    <x v="2"/>
    <n v="252.93"/>
  </r>
  <r>
    <x v="1111"/>
    <x v="1102"/>
    <s v="Monitor"/>
    <n v="4"/>
    <n v="234.45"/>
    <s v="362 Main St"/>
    <s v="Online"/>
    <n v="9"/>
    <x v="0"/>
    <n v="937.8"/>
  </r>
  <r>
    <x v="1112"/>
    <x v="1103"/>
    <s v="Desk"/>
    <n v="1"/>
    <n v="356.81"/>
    <s v="563 Main St"/>
    <s v="Online"/>
    <n v="1"/>
    <x v="0"/>
    <n v="356.81"/>
  </r>
  <r>
    <x v="1113"/>
    <x v="1104"/>
    <s v="Desk"/>
    <n v="4"/>
    <n v="209.99"/>
    <s v="168 Main St"/>
    <s v="Cash"/>
    <n v="8"/>
    <x v="4"/>
    <n v="839.96"/>
  </r>
  <r>
    <x v="1114"/>
    <x v="1105"/>
    <s v="Tablet"/>
    <n v="3"/>
    <n v="659.88"/>
    <s v="609 Main St"/>
    <s v="Gift Card"/>
    <n v="3"/>
    <x v="4"/>
    <n v="1979.64"/>
  </r>
  <r>
    <x v="1115"/>
    <x v="1106"/>
    <s v="Laptop"/>
    <n v="2"/>
    <n v="336.32"/>
    <s v="562 Main St"/>
    <s v="Online"/>
    <n v="3"/>
    <x v="4"/>
    <n v="672.64"/>
  </r>
  <r>
    <x v="1116"/>
    <x v="1107"/>
    <s v="Printer"/>
    <n v="2"/>
    <n v="531.49"/>
    <s v="562 Main St"/>
    <s v="Credit Card"/>
    <n v="7"/>
    <x v="3"/>
    <n v="1062.98"/>
  </r>
  <r>
    <x v="1117"/>
    <x v="1108"/>
    <s v="Chair"/>
    <n v="3"/>
    <n v="588.44000000000005"/>
    <s v="858 Main St"/>
    <s v="Gift Card"/>
    <n v="8"/>
    <x v="4"/>
    <n v="1765.32"/>
  </r>
  <r>
    <x v="1118"/>
    <x v="1109"/>
    <s v="Phone"/>
    <n v="3"/>
    <n v="251.48"/>
    <s v="359 Main St"/>
    <s v="Credit Card"/>
    <n v="4"/>
    <x v="2"/>
    <n v="754.43999999999994"/>
  </r>
  <r>
    <x v="1119"/>
    <x v="1110"/>
    <s v="Laptop"/>
    <n v="1"/>
    <n v="684.65"/>
    <s v="250 Main St"/>
    <s v="Credit Card"/>
    <n v="1"/>
    <x v="2"/>
    <n v="684.65"/>
  </r>
  <r>
    <x v="1120"/>
    <x v="1111"/>
    <s v="Tablet"/>
    <n v="1"/>
    <n v="195.86"/>
    <s v="267 Main St"/>
    <s v="Online"/>
    <n v="3"/>
    <x v="3"/>
    <n v="195.86"/>
  </r>
  <r>
    <x v="1121"/>
    <x v="1112"/>
    <s v="Phone"/>
    <n v="3"/>
    <n v="50.34"/>
    <s v="393 Main St"/>
    <s v="Gift Card"/>
    <n v="3"/>
    <x v="0"/>
    <n v="151.02000000000001"/>
  </r>
  <r>
    <x v="1122"/>
    <x v="266"/>
    <s v="Monitor"/>
    <n v="5"/>
    <n v="678.19"/>
    <s v="766 Main St"/>
    <s v="Online"/>
    <n v="8"/>
    <x v="3"/>
    <n v="3390.95"/>
  </r>
  <r>
    <x v="1123"/>
    <x v="1113"/>
    <s v="Tablet"/>
    <n v="3"/>
    <n v="554.25"/>
    <s v="843 Main St"/>
    <s v="Debit Card"/>
    <n v="6"/>
    <x v="1"/>
    <n v="1662.75"/>
  </r>
  <r>
    <x v="1124"/>
    <x v="1114"/>
    <s v="Chair"/>
    <n v="4"/>
    <n v="576.87"/>
    <s v="888 Main St"/>
    <s v="Gift Card"/>
    <n v="5"/>
    <x v="0"/>
    <n v="2307.48"/>
  </r>
  <r>
    <x v="1125"/>
    <x v="1115"/>
    <s v="Desk"/>
    <n v="4"/>
    <n v="408.36"/>
    <s v="156 Main St"/>
    <s v="Gift Card"/>
    <n v="4"/>
    <x v="1"/>
    <n v="1633.44"/>
  </r>
  <r>
    <x v="1126"/>
    <x v="1116"/>
    <s v="Phone"/>
    <n v="5"/>
    <n v="190.11"/>
    <s v="325 Main St"/>
    <s v="Cash"/>
    <n v="7"/>
    <x v="4"/>
    <n v="950.55000000000007"/>
  </r>
  <r>
    <x v="1127"/>
    <x v="1117"/>
    <s v="Printer"/>
    <n v="3"/>
    <n v="602.75"/>
    <s v="920 Main St"/>
    <s v="Credit Card"/>
    <n v="6"/>
    <x v="2"/>
    <n v="1808.25"/>
  </r>
  <r>
    <x v="1128"/>
    <x v="1118"/>
    <s v="Monitor"/>
    <n v="3"/>
    <n v="646.79"/>
    <s v="447 Main St"/>
    <s v="Cash"/>
    <n v="5"/>
    <x v="4"/>
    <n v="1940.37"/>
  </r>
  <r>
    <x v="1129"/>
    <x v="1119"/>
    <s v="Chair"/>
    <n v="4"/>
    <n v="418.71"/>
    <s v="239 Main St"/>
    <s v="Cash"/>
    <n v="8"/>
    <x v="0"/>
    <n v="1674.84"/>
  </r>
  <r>
    <x v="1130"/>
    <x v="1120"/>
    <s v="Laptop"/>
    <n v="2"/>
    <n v="323.45"/>
    <s v="533 Main St"/>
    <s v="Credit Card"/>
    <n v="5"/>
    <x v="0"/>
    <n v="646.9"/>
  </r>
  <r>
    <x v="1131"/>
    <x v="1121"/>
    <s v="Phone"/>
    <n v="1"/>
    <n v="694.5"/>
    <s v="195 Main St"/>
    <s v="Credit Card"/>
    <n v="3"/>
    <x v="3"/>
    <n v="694.5"/>
  </r>
  <r>
    <x v="1132"/>
    <x v="1122"/>
    <s v="Chair"/>
    <n v="2"/>
    <n v="337.32"/>
    <s v="948 Main St"/>
    <s v="Credit Card"/>
    <n v="4"/>
    <x v="2"/>
    <n v="674.64"/>
  </r>
  <r>
    <x v="1133"/>
    <x v="1123"/>
    <s v="Printer"/>
    <n v="2"/>
    <n v="467.91"/>
    <s v="432 Main St"/>
    <s v="Gift Card"/>
    <n v="5"/>
    <x v="3"/>
    <n v="935.82"/>
  </r>
  <r>
    <x v="1134"/>
    <x v="1124"/>
    <s v="Desk"/>
    <n v="4"/>
    <n v="38.28"/>
    <s v="950 Main St"/>
    <s v="Debit Card"/>
    <n v="4"/>
    <x v="3"/>
    <n v="153.12"/>
  </r>
  <r>
    <x v="1135"/>
    <x v="1125"/>
    <s v="Printer"/>
    <n v="2"/>
    <n v="73.41"/>
    <s v="562 Main St"/>
    <s v="Online"/>
    <n v="2"/>
    <x v="4"/>
    <n v="146.82"/>
  </r>
  <r>
    <x v="1136"/>
    <x v="1126"/>
    <s v="Tablet"/>
    <n v="3"/>
    <n v="668.33"/>
    <s v="799 Main St"/>
    <s v="Gift Card"/>
    <n v="4"/>
    <x v="3"/>
    <n v="2004.99"/>
  </r>
  <r>
    <x v="1137"/>
    <x v="1127"/>
    <s v="Printer"/>
    <n v="4"/>
    <n v="410.21"/>
    <s v="841 Main St"/>
    <s v="Cash"/>
    <n v="5"/>
    <x v="0"/>
    <n v="1640.84"/>
  </r>
  <r>
    <x v="1138"/>
    <x v="1128"/>
    <s v="Desk"/>
    <n v="4"/>
    <n v="294.41000000000003"/>
    <s v="188 Main St"/>
    <s v="Debit Card"/>
    <n v="4"/>
    <x v="0"/>
    <n v="1177.6400000000001"/>
  </r>
  <r>
    <x v="1139"/>
    <x v="1042"/>
    <s v="Chair"/>
    <n v="3"/>
    <n v="501.82"/>
    <s v="568 Main St"/>
    <s v="Gift Card"/>
    <n v="4"/>
    <x v="2"/>
    <n v="1505.46"/>
  </r>
  <r>
    <x v="1140"/>
    <x v="1129"/>
    <s v="Printer"/>
    <n v="2"/>
    <n v="552.83000000000004"/>
    <s v="904 Main St"/>
    <s v="Credit Card"/>
    <n v="3"/>
    <x v="1"/>
    <n v="1105.6600000000001"/>
  </r>
  <r>
    <x v="1141"/>
    <x v="1130"/>
    <s v="Chair"/>
    <n v="3"/>
    <n v="498.66"/>
    <s v="382 Main St"/>
    <s v="Cash"/>
    <n v="6"/>
    <x v="2"/>
    <n v="1495.98"/>
  </r>
  <r>
    <x v="1142"/>
    <x v="1131"/>
    <s v="Phone"/>
    <n v="4"/>
    <n v="695.1"/>
    <s v="484 Main St"/>
    <s v="Debit Card"/>
    <n v="8"/>
    <x v="2"/>
    <n v="2780.4"/>
  </r>
  <r>
    <x v="1143"/>
    <x v="1132"/>
    <s v="Chair"/>
    <n v="1"/>
    <n v="381.61"/>
    <s v="114 Main St"/>
    <s v="Debit Card"/>
    <n v="5"/>
    <x v="2"/>
    <n v="381.61"/>
  </r>
  <r>
    <x v="1144"/>
    <x v="1133"/>
    <s v="Desk"/>
    <n v="5"/>
    <n v="507.94"/>
    <s v="292 Main St"/>
    <s v="Online"/>
    <n v="9"/>
    <x v="3"/>
    <n v="2539.6999999999998"/>
  </r>
  <r>
    <x v="1145"/>
    <x v="1134"/>
    <s v="Desk"/>
    <n v="3"/>
    <n v="571.53"/>
    <s v="821 Main St"/>
    <s v="Debit Card"/>
    <n v="6"/>
    <x v="3"/>
    <n v="1714.59"/>
  </r>
  <r>
    <x v="1146"/>
    <x v="1135"/>
    <s v="Monitor"/>
    <n v="5"/>
    <n v="421.44"/>
    <s v="286 Main St"/>
    <s v="Cash"/>
    <n v="5"/>
    <x v="0"/>
    <n v="2107.1999999999998"/>
  </r>
  <r>
    <x v="1147"/>
    <x v="1136"/>
    <s v="Chair"/>
    <n v="2"/>
    <n v="588.29999999999995"/>
    <s v="234 Main St"/>
    <s v="Online"/>
    <n v="2"/>
    <x v="2"/>
    <n v="1176.5999999999999"/>
  </r>
  <r>
    <x v="1148"/>
    <x v="1137"/>
    <s v="Phone"/>
    <n v="1"/>
    <n v="355.15"/>
    <s v="442 Main St"/>
    <s v="Cash"/>
    <n v="2"/>
    <x v="2"/>
    <n v="355.15"/>
  </r>
  <r>
    <x v="1149"/>
    <x v="1138"/>
    <s v="Chair"/>
    <n v="2"/>
    <n v="695.29"/>
    <s v="957 Main St"/>
    <s v="Credit Card"/>
    <n v="6"/>
    <x v="0"/>
    <n v="1390.58"/>
  </r>
  <r>
    <x v="1150"/>
    <x v="1139"/>
    <s v="Desk"/>
    <n v="4"/>
    <n v="302.64999999999998"/>
    <s v="119 Main St"/>
    <s v="Credit Card"/>
    <n v="8"/>
    <x v="1"/>
    <n v="1210.5999999999999"/>
  </r>
  <r>
    <x v="1151"/>
    <x v="1140"/>
    <s v="Chair"/>
    <n v="2"/>
    <n v="608.04"/>
    <s v="962 Main St"/>
    <s v="Cash"/>
    <n v="4"/>
    <x v="4"/>
    <n v="1216.08"/>
  </r>
  <r>
    <x v="1152"/>
    <x v="1141"/>
    <s v="Tablet"/>
    <n v="2"/>
    <n v="344.18"/>
    <s v="533 Main St"/>
    <s v="Credit Card"/>
    <n v="7"/>
    <x v="1"/>
    <n v="688.36"/>
  </r>
  <r>
    <x v="1153"/>
    <x v="1142"/>
    <s v="Monitor"/>
    <n v="4"/>
    <n v="696.71"/>
    <s v="276 Main St"/>
    <s v="Debit Card"/>
    <n v="4"/>
    <x v="0"/>
    <n v="2786.84"/>
  </r>
  <r>
    <x v="1154"/>
    <x v="1143"/>
    <s v="Monitor"/>
    <n v="3"/>
    <n v="198.63"/>
    <s v="593 Main St"/>
    <s v="Cash"/>
    <n v="8"/>
    <x v="0"/>
    <n v="595.89"/>
  </r>
  <r>
    <x v="1155"/>
    <x v="1144"/>
    <s v="Printer"/>
    <n v="4"/>
    <n v="534.57000000000005"/>
    <s v="667 Main St"/>
    <s v="Credit Card"/>
    <n v="6"/>
    <x v="3"/>
    <n v="2138.2800000000002"/>
  </r>
  <r>
    <x v="1156"/>
    <x v="1145"/>
    <s v="Laptop"/>
    <n v="4"/>
    <n v="690.78"/>
    <s v="980 Main St"/>
    <s v="Credit Card"/>
    <n v="9"/>
    <x v="1"/>
    <n v="2763.12"/>
  </r>
  <r>
    <x v="1157"/>
    <x v="1146"/>
    <s v="Monitor"/>
    <n v="3"/>
    <n v="301.55"/>
    <s v="242 Main St"/>
    <s v="Debit Card"/>
    <n v="5"/>
    <x v="4"/>
    <n v="904.65000000000009"/>
  </r>
  <r>
    <x v="1158"/>
    <x v="1147"/>
    <s v="Monitor"/>
    <n v="4"/>
    <n v="27.42"/>
    <s v="661 Main St"/>
    <s v="Debit Card"/>
    <n v="4"/>
    <x v="1"/>
    <n v="109.68"/>
  </r>
  <r>
    <x v="1159"/>
    <x v="1148"/>
    <s v="Desk"/>
    <n v="4"/>
    <n v="466.7"/>
    <s v="874 Main St"/>
    <s v="Debit Card"/>
    <n v="8"/>
    <x v="0"/>
    <n v="1866.8"/>
  </r>
  <r>
    <x v="1160"/>
    <x v="1149"/>
    <s v="Desk"/>
    <n v="1"/>
    <n v="541.64"/>
    <s v="449 Main St"/>
    <s v="Debit Card"/>
    <n v="5"/>
    <x v="2"/>
    <n v="541.64"/>
  </r>
  <r>
    <x v="1161"/>
    <x v="1150"/>
    <s v="Phone"/>
    <n v="1"/>
    <n v="11.39"/>
    <s v="826 Main St"/>
    <s v="Cash"/>
    <n v="6"/>
    <x v="2"/>
    <n v="11.39"/>
  </r>
  <r>
    <x v="1162"/>
    <x v="1151"/>
    <s v="Phone"/>
    <n v="2"/>
    <n v="224.37"/>
    <s v="251 Main St"/>
    <s v="Debit Card"/>
    <n v="3"/>
    <x v="1"/>
    <n v="448.74"/>
  </r>
  <r>
    <x v="1163"/>
    <x v="1152"/>
    <s v="Laptop"/>
    <n v="3"/>
    <n v="306.29000000000002"/>
    <s v="966 Main St"/>
    <s v="Credit Card"/>
    <n v="7"/>
    <x v="0"/>
    <n v="918.87000000000012"/>
  </r>
  <r>
    <x v="1164"/>
    <x v="1153"/>
    <s v="Tablet"/>
    <n v="5"/>
    <n v="315.57"/>
    <s v="340 Main St"/>
    <s v="Debit Card"/>
    <n v="6"/>
    <x v="2"/>
    <n v="1577.85"/>
  </r>
  <r>
    <x v="1165"/>
    <x v="1154"/>
    <s v="Chair"/>
    <n v="3"/>
    <n v="223.79"/>
    <s v="617 Main St"/>
    <s v="Debit Card"/>
    <n v="3"/>
    <x v="4"/>
    <n v="671.37"/>
  </r>
  <r>
    <x v="1166"/>
    <x v="1155"/>
    <s v="Chair"/>
    <n v="3"/>
    <n v="324.47000000000003"/>
    <s v="971 Main St"/>
    <s v="Cash"/>
    <n v="4"/>
    <x v="2"/>
    <n v="973.41000000000008"/>
  </r>
  <r>
    <x v="1167"/>
    <x v="1156"/>
    <s v="Printer"/>
    <n v="2"/>
    <n v="92.87"/>
    <s v="360 Main St"/>
    <s v="Credit Card"/>
    <n v="5"/>
    <x v="3"/>
    <n v="185.74"/>
  </r>
  <r>
    <x v="1168"/>
    <x v="1157"/>
    <s v="Laptop"/>
    <n v="2"/>
    <n v="331.42"/>
    <s v="297 Main St"/>
    <s v="Credit Card"/>
    <n v="6"/>
    <x v="4"/>
    <n v="662.84"/>
  </r>
  <r>
    <x v="1169"/>
    <x v="1158"/>
    <s v="Chair"/>
    <n v="1"/>
    <n v="525.42999999999995"/>
    <s v="643 Main St"/>
    <s v="Cash"/>
    <n v="2"/>
    <x v="0"/>
    <n v="525.42999999999995"/>
  </r>
  <r>
    <x v="1170"/>
    <x v="1159"/>
    <s v="Printer"/>
    <n v="2"/>
    <n v="697.19"/>
    <s v="762 Main St"/>
    <s v="Cash"/>
    <n v="7"/>
    <x v="2"/>
    <n v="1394.38"/>
  </r>
  <r>
    <x v="1171"/>
    <x v="1160"/>
    <s v="Phone"/>
    <n v="4"/>
    <n v="518.4"/>
    <s v="699 Main St"/>
    <s v="Credit Card"/>
    <n v="7"/>
    <x v="3"/>
    <n v="2073.6"/>
  </r>
  <r>
    <x v="1172"/>
    <x v="1161"/>
    <s v="Desk"/>
    <n v="3"/>
    <n v="131.96"/>
    <s v="745 Main St"/>
    <s v="Credit Card"/>
    <n v="8"/>
    <x v="0"/>
    <n v="395.88"/>
  </r>
  <r>
    <x v="1173"/>
    <x v="1162"/>
    <s v="Monitor"/>
    <n v="1"/>
    <n v="208.36"/>
    <s v="703 Main St"/>
    <s v="Online"/>
    <n v="4"/>
    <x v="2"/>
    <n v="208.36"/>
  </r>
  <r>
    <x v="1174"/>
    <x v="1163"/>
    <s v="Printer"/>
    <n v="3"/>
    <n v="222.34"/>
    <s v="105 Main St"/>
    <s v="Credit Card"/>
    <n v="5"/>
    <x v="2"/>
    <n v="667.02"/>
  </r>
  <r>
    <x v="1175"/>
    <x v="1164"/>
    <s v="Printer"/>
    <n v="3"/>
    <n v="91.74"/>
    <s v="368 Main St"/>
    <s v="Debit Card"/>
    <n v="8"/>
    <x v="1"/>
    <n v="275.22000000000003"/>
  </r>
  <r>
    <x v="1176"/>
    <x v="1165"/>
    <s v="Tablet"/>
    <n v="2"/>
    <n v="213.83"/>
    <s v="374 Main St"/>
    <s v="Debit Card"/>
    <n v="2"/>
    <x v="2"/>
    <n v="427.66"/>
  </r>
  <r>
    <x v="1177"/>
    <x v="1166"/>
    <s v="Printer"/>
    <n v="1"/>
    <n v="127.55"/>
    <s v="433 Main St"/>
    <s v="Cash"/>
    <n v="3"/>
    <x v="1"/>
    <n v="127.55"/>
  </r>
  <r>
    <x v="1178"/>
    <x v="1167"/>
    <s v="Monitor"/>
    <n v="1"/>
    <n v="70.239999999999995"/>
    <s v="456 Main St"/>
    <s v="Credit Card"/>
    <n v="4"/>
    <x v="4"/>
    <n v="70.239999999999995"/>
  </r>
  <r>
    <x v="1179"/>
    <x v="1168"/>
    <s v="Laptop"/>
    <n v="5"/>
    <n v="518.54999999999995"/>
    <s v="907 Main St"/>
    <s v="Credit Card"/>
    <n v="6"/>
    <x v="0"/>
    <n v="2592.75"/>
  </r>
  <r>
    <x v="1180"/>
    <x v="1169"/>
    <s v="Chair"/>
    <n v="4"/>
    <n v="298.36"/>
    <s v="722 Main St"/>
    <s v="Debit Card"/>
    <n v="8"/>
    <x v="4"/>
    <n v="1193.44"/>
  </r>
  <r>
    <x v="1181"/>
    <x v="1170"/>
    <s v="Desk"/>
    <n v="3"/>
    <n v="158.74"/>
    <s v="293 Main St"/>
    <s v="Online"/>
    <n v="7"/>
    <x v="0"/>
    <n v="476.22"/>
  </r>
  <r>
    <x v="1182"/>
    <x v="1171"/>
    <s v="Chair"/>
    <n v="2"/>
    <n v="420.29"/>
    <s v="700 Main St"/>
    <s v="Gift Card"/>
    <n v="3"/>
    <x v="4"/>
    <n v="840.58"/>
  </r>
  <r>
    <x v="1183"/>
    <x v="1172"/>
    <s v="Desk"/>
    <n v="1"/>
    <n v="281.52"/>
    <s v="460 Main St"/>
    <s v="Gift Card"/>
    <n v="6"/>
    <x v="1"/>
    <n v="281.52"/>
  </r>
  <r>
    <x v="1184"/>
    <x v="1173"/>
    <s v="Laptop"/>
    <n v="1"/>
    <n v="204.08"/>
    <s v="979 Main St"/>
    <s v="Gift Card"/>
    <n v="4"/>
    <x v="4"/>
    <n v="204.08"/>
  </r>
  <r>
    <x v="1185"/>
    <x v="1174"/>
    <s v="Chair"/>
    <n v="1"/>
    <n v="343.31"/>
    <s v="777 Main St"/>
    <s v="Gift Card"/>
    <n v="6"/>
    <x v="4"/>
    <n v="343.31"/>
  </r>
  <r>
    <x v="1186"/>
    <x v="1175"/>
    <s v="Monitor"/>
    <n v="1"/>
    <n v="163.32"/>
    <s v="676 Main St"/>
    <s v="Cash"/>
    <n v="6"/>
    <x v="3"/>
    <n v="163.32"/>
  </r>
  <r>
    <x v="1187"/>
    <x v="1176"/>
    <s v="Desk"/>
    <n v="2"/>
    <n v="184.6"/>
    <s v="562 Main St"/>
    <s v="Gift Card"/>
    <n v="7"/>
    <x v="2"/>
    <n v="369.2"/>
  </r>
  <r>
    <x v="1188"/>
    <x v="1177"/>
    <s v="Printer"/>
    <n v="2"/>
    <n v="371.29"/>
    <s v="924 Main St"/>
    <s v="Gift Card"/>
    <n v="5"/>
    <x v="3"/>
    <n v="742.58"/>
  </r>
  <r>
    <x v="1189"/>
    <x v="1178"/>
    <s v="Tablet"/>
    <n v="5"/>
    <n v="389.22"/>
    <s v="149 Main St"/>
    <s v="Cash"/>
    <n v="7"/>
    <x v="1"/>
    <n v="1946.1"/>
  </r>
  <r>
    <x v="1190"/>
    <x v="1179"/>
    <s v="Desk"/>
    <n v="3"/>
    <n v="616.39"/>
    <s v="754 Main St"/>
    <s v="Credit Card"/>
    <n v="6"/>
    <x v="0"/>
    <n v="1849.17"/>
  </r>
  <r>
    <x v="1191"/>
    <x v="1180"/>
    <s v="Desk"/>
    <n v="4"/>
    <n v="376.43"/>
    <s v="809 Main St"/>
    <s v="Gift Card"/>
    <n v="5"/>
    <x v="0"/>
    <n v="1505.72"/>
  </r>
  <r>
    <x v="1192"/>
    <x v="1181"/>
    <s v="Chair"/>
    <n v="3"/>
    <n v="432.85"/>
    <s v="999 Main St"/>
    <s v="Online"/>
    <n v="4"/>
    <x v="0"/>
    <n v="1298.55"/>
  </r>
  <r>
    <x v="1193"/>
    <x v="1182"/>
    <s v="Tablet"/>
    <n v="1"/>
    <n v="687.89"/>
    <s v="348 Main St"/>
    <s v="Cash"/>
    <n v="1"/>
    <x v="2"/>
    <n v="687.89"/>
  </r>
  <r>
    <x v="1194"/>
    <x v="1183"/>
    <s v="Printer"/>
    <n v="3"/>
    <n v="189.44"/>
    <s v="725 Main St"/>
    <s v="Cash"/>
    <n v="4"/>
    <x v="2"/>
    <n v="568.31999999999994"/>
  </r>
  <r>
    <x v="1195"/>
    <x v="1184"/>
    <s v="Desk"/>
    <n v="1"/>
    <n v="107.04"/>
    <s v="392 Main St"/>
    <s v="Credit Card"/>
    <n v="6"/>
    <x v="4"/>
    <n v="107.04"/>
  </r>
  <r>
    <x v="1196"/>
    <x v="1185"/>
    <s v="Monitor"/>
    <n v="2"/>
    <n v="662.53"/>
    <s v="778 Main St"/>
    <s v="Online"/>
    <n v="5"/>
    <x v="3"/>
    <n v="1325.06"/>
  </r>
  <r>
    <x v="1197"/>
    <x v="1186"/>
    <s v="Tablet"/>
    <n v="2"/>
    <n v="436.84"/>
    <s v="275 Main St"/>
    <s v="Online"/>
    <n v="2"/>
    <x v="0"/>
    <n v="873.68"/>
  </r>
  <r>
    <x v="1198"/>
    <x v="1187"/>
    <s v="Chair"/>
    <n v="4"/>
    <n v="262.52"/>
    <s v="509 Main St"/>
    <s v="Debit Card"/>
    <n v="4"/>
    <x v="0"/>
    <n v="1050.08"/>
  </r>
  <r>
    <x v="1199"/>
    <x v="1188"/>
    <s v="Tablet"/>
    <n v="4"/>
    <n v="560.58000000000004"/>
    <s v="201 Main St"/>
    <s v="Gift Card"/>
    <n v="6"/>
    <x v="1"/>
    <n v="2242.3200000000002"/>
  </r>
  <r>
    <x v="1200"/>
    <x v="1189"/>
    <m/>
    <m/>
    <m/>
    <m/>
    <m/>
    <m/>
    <x v="5"/>
    <m/>
  </r>
  <r>
    <x v="1200"/>
    <x v="1189"/>
    <m/>
    <m/>
    <m/>
    <m/>
    <m/>
    <m/>
    <x v="5"/>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s v="ORD200000"/>
    <s v="C72649"/>
    <x v="0"/>
    <n v="5"/>
    <x v="0"/>
    <s v="928 Main St"/>
    <s v="Debit Card"/>
    <x v="0"/>
    <s v="Instagram"/>
    <n v="2853.1"/>
  </r>
  <r>
    <s v="ORD200001"/>
    <s v="C75739"/>
    <x v="1"/>
    <n v="2"/>
    <x v="1"/>
    <s v="823 Main St"/>
    <s v="Online"/>
    <x v="1"/>
    <s v="Referral"/>
    <n v="302.7"/>
  </r>
  <r>
    <s v="ORD200002"/>
    <s v="C81728"/>
    <x v="2"/>
    <n v="5"/>
    <x v="2"/>
    <s v="512 Main St"/>
    <s v="Credit Card"/>
    <x v="2"/>
    <s v="Email"/>
    <n v="2753.4"/>
  </r>
  <r>
    <s v="ORD200003"/>
    <s v="C33540"/>
    <x v="3"/>
    <n v="1"/>
    <x v="3"/>
    <s v="275 Main St"/>
    <s v="Debit Card"/>
    <x v="3"/>
    <s v="Facebook"/>
    <n v="273.19"/>
  </r>
  <r>
    <s v="ORD200004"/>
    <s v="C81840"/>
    <x v="4"/>
    <n v="4"/>
    <x v="4"/>
    <s v="668 Main St"/>
    <s v="Online"/>
    <x v="2"/>
    <s v="Email"/>
    <n v="2504.04"/>
  </r>
  <r>
    <s v="ORD200005"/>
    <s v="C37249"/>
    <x v="1"/>
    <n v="2"/>
    <x v="5"/>
    <s v="934 Main St"/>
    <s v="Credit Card"/>
    <x v="4"/>
    <s v="Instagram"/>
    <n v="491.72"/>
  </r>
  <r>
    <s v="ORD200006"/>
    <s v="C83492"/>
    <x v="5"/>
    <n v="1"/>
    <x v="6"/>
    <s v="986 Main St"/>
    <s v="Gift Card"/>
    <x v="5"/>
    <s v="Facebook"/>
    <n v="664.42"/>
  </r>
  <r>
    <s v="ORD200007"/>
    <s v="C41460"/>
    <x v="0"/>
    <n v="5"/>
    <x v="7"/>
    <s v="706 Main St"/>
    <s v="Cash"/>
    <x v="6"/>
    <s v="Facebook"/>
    <n v="747.75"/>
  </r>
  <r>
    <s v="ORD200008"/>
    <s v="C26817"/>
    <x v="1"/>
    <n v="2"/>
    <x v="8"/>
    <s v="904 Main St"/>
    <s v="Gift Card"/>
    <x v="7"/>
    <s v="Email"/>
    <n v="268.56"/>
  </r>
  <r>
    <s v="ORD200009"/>
    <s v="C31946"/>
    <x v="6"/>
    <n v="4"/>
    <x v="9"/>
    <s v="102 Main St"/>
    <s v="Credit Card"/>
    <x v="5"/>
    <s v="Google"/>
    <n v="2037.52"/>
  </r>
  <r>
    <s v="ORD200010"/>
    <s v="C43443"/>
    <x v="2"/>
    <n v="5"/>
    <x v="10"/>
    <s v="333 Main St"/>
    <s v="Credit Card"/>
    <x v="6"/>
    <s v="Instagram"/>
    <n v="3129.85"/>
  </r>
  <r>
    <s v="ORD200011"/>
    <s v="C93861"/>
    <x v="0"/>
    <n v="3"/>
    <x v="11"/>
    <s v="831 Main St"/>
    <s v="Online"/>
    <x v="0"/>
    <s v="Email"/>
    <n v="147.41999999999999"/>
  </r>
  <r>
    <s v="ORD200012"/>
    <s v="C38785"/>
    <x v="0"/>
    <n v="2"/>
    <x v="12"/>
    <s v="179 Main St"/>
    <s v="Debit Card"/>
    <x v="5"/>
    <s v="Referral"/>
    <n v="361"/>
  </r>
  <r>
    <s v="ORD200013"/>
    <s v="C88348"/>
    <x v="5"/>
    <n v="3"/>
    <x v="13"/>
    <s v="903 Main St"/>
    <s v="Credit Card"/>
    <x v="4"/>
    <s v="Facebook"/>
    <n v="604.47"/>
  </r>
  <r>
    <s v="ORD200014"/>
    <s v="C98474"/>
    <x v="2"/>
    <n v="2"/>
    <x v="14"/>
    <s v="980 Main St"/>
    <s v="Debit Card"/>
    <x v="1"/>
    <s v="Instagram"/>
    <n v="786.66"/>
  </r>
  <r>
    <s v="ORD200015"/>
    <s v="C39416"/>
    <x v="4"/>
    <n v="1"/>
    <x v="15"/>
    <s v="942 Main St"/>
    <s v="Cash"/>
    <x v="1"/>
    <s v="Google"/>
    <n v="473.96"/>
  </r>
  <r>
    <s v="ORD200016"/>
    <s v="C28976"/>
    <x v="4"/>
    <n v="2"/>
    <x v="16"/>
    <s v="914 Main St"/>
    <s v="Credit Card"/>
    <x v="1"/>
    <s v="Email"/>
    <n v="1067.6199999999999"/>
  </r>
  <r>
    <s v="ORD200017"/>
    <s v="C60672"/>
    <x v="2"/>
    <n v="1"/>
    <x v="17"/>
    <s v="382 Main St"/>
    <s v="Debit Card"/>
    <x v="1"/>
    <s v="Referral"/>
    <n v="423.4"/>
  </r>
  <r>
    <s v="ORD200018"/>
    <s v="C84329"/>
    <x v="6"/>
    <n v="1"/>
    <x v="18"/>
    <s v="891 Main St"/>
    <s v="Gift Card"/>
    <x v="1"/>
    <s v="Facebook"/>
    <n v="431.44"/>
  </r>
  <r>
    <s v="ORD200019"/>
    <s v="C14552"/>
    <x v="0"/>
    <n v="5"/>
    <x v="19"/>
    <s v="273 Main St"/>
    <s v="Cash"/>
    <x v="6"/>
    <s v="Google"/>
    <n v="1120"/>
  </r>
  <r>
    <s v="ORD200020"/>
    <s v="C54829"/>
    <x v="3"/>
    <n v="5"/>
    <x v="20"/>
    <s v="587 Main St"/>
    <s v="Cash"/>
    <x v="6"/>
    <s v="Instagram"/>
    <n v="312.55"/>
  </r>
  <r>
    <s v="ORD200021"/>
    <s v="C99023"/>
    <x v="0"/>
    <n v="4"/>
    <x v="21"/>
    <s v="569 Main St"/>
    <s v="Cash"/>
    <x v="5"/>
    <s v="Google"/>
    <n v="1371.8"/>
  </r>
  <r>
    <s v="ORD200022"/>
    <s v="C34416"/>
    <x v="0"/>
    <n v="2"/>
    <x v="22"/>
    <s v="633 Main St"/>
    <s v="Online"/>
    <x v="7"/>
    <s v="Google"/>
    <n v="99.24"/>
  </r>
  <r>
    <s v="ORD200023"/>
    <s v="C42372"/>
    <x v="1"/>
    <n v="4"/>
    <x v="23"/>
    <s v="755 Main St"/>
    <s v="Debit Card"/>
    <x v="3"/>
    <s v="Referral"/>
    <n v="1093"/>
  </r>
  <r>
    <s v="ORD200024"/>
    <s v="C17470"/>
    <x v="5"/>
    <n v="2"/>
    <x v="24"/>
    <s v="956 Main St"/>
    <s v="Online"/>
    <x v="1"/>
    <s v="Referral"/>
    <n v="461.9"/>
  </r>
  <r>
    <s v="ORD200025"/>
    <s v="C42577"/>
    <x v="0"/>
    <n v="1"/>
    <x v="25"/>
    <s v="709 Main St"/>
    <s v="Debit Card"/>
    <x v="1"/>
    <s v="Email"/>
    <n v="399.98"/>
  </r>
  <r>
    <s v="ORD200026"/>
    <s v="C21944"/>
    <x v="5"/>
    <n v="5"/>
    <x v="26"/>
    <s v="296 Main St"/>
    <s v="Online"/>
    <x v="5"/>
    <s v="Referral"/>
    <n v="297.75"/>
  </r>
  <r>
    <s v="ORD200027"/>
    <s v="C97593"/>
    <x v="4"/>
    <n v="1"/>
    <x v="27"/>
    <s v="881 Main St"/>
    <s v="Online"/>
    <x v="5"/>
    <s v="Google"/>
    <n v="472.74"/>
  </r>
  <r>
    <s v="ORD200028"/>
    <s v="C59823"/>
    <x v="1"/>
    <n v="4"/>
    <x v="28"/>
    <s v="568 Main St"/>
    <s v="Online"/>
    <x v="3"/>
    <s v="Email"/>
    <n v="640.28"/>
  </r>
  <r>
    <s v="ORD200029"/>
    <s v="C33260"/>
    <x v="6"/>
    <n v="3"/>
    <x v="29"/>
    <s v="930 Main St"/>
    <s v="Credit Card"/>
    <x v="5"/>
    <s v="Referral"/>
    <n v="1270.5899999999999"/>
  </r>
  <r>
    <s v="ORD200030"/>
    <s v="C44267"/>
    <x v="0"/>
    <n v="2"/>
    <x v="30"/>
    <s v="895 Main St"/>
    <s v="Online"/>
    <x v="3"/>
    <s v="Referral"/>
    <n v="853.4"/>
  </r>
  <r>
    <s v="ORD200031"/>
    <s v="C26445"/>
    <x v="3"/>
    <n v="3"/>
    <x v="31"/>
    <s v="996 Main St"/>
    <s v="Debit Card"/>
    <x v="5"/>
    <s v="Facebook"/>
    <n v="1500.24"/>
  </r>
  <r>
    <s v="ORD200032"/>
    <s v="C12388"/>
    <x v="2"/>
    <n v="5"/>
    <x v="32"/>
    <s v="830 Main St"/>
    <s v="Cash"/>
    <x v="8"/>
    <s v="Email"/>
    <n v="2683.6"/>
  </r>
  <r>
    <s v="ORD200033"/>
    <s v="C52184"/>
    <x v="3"/>
    <n v="1"/>
    <x v="33"/>
    <s v="912 Main St"/>
    <s v="Online"/>
    <x v="4"/>
    <s v="Facebook"/>
    <n v="162.77000000000001"/>
  </r>
  <r>
    <s v="ORD200034"/>
    <s v="C67195"/>
    <x v="3"/>
    <n v="4"/>
    <x v="34"/>
    <s v="926 Main St"/>
    <s v="Credit Card"/>
    <x v="3"/>
    <s v="Facebook"/>
    <n v="2306.08"/>
  </r>
  <r>
    <s v="ORD200035"/>
    <s v="C50304"/>
    <x v="0"/>
    <n v="2"/>
    <x v="35"/>
    <s v="128 Main St"/>
    <s v="Online"/>
    <x v="7"/>
    <s v="Facebook"/>
    <n v="930.3"/>
  </r>
  <r>
    <s v="ORD200036"/>
    <s v="C59337"/>
    <x v="5"/>
    <n v="2"/>
    <x v="36"/>
    <s v="465 Main St"/>
    <s v="Debit Card"/>
    <x v="3"/>
    <s v="Facebook"/>
    <n v="1068.8599999999999"/>
  </r>
  <r>
    <s v="ORD200037"/>
    <s v="C10054"/>
    <x v="5"/>
    <n v="2"/>
    <x v="37"/>
    <s v="409 Main St"/>
    <s v="Cash"/>
    <x v="0"/>
    <s v="Instagram"/>
    <n v="153.47999999999999"/>
  </r>
  <r>
    <s v="ORD200038"/>
    <s v="C15924"/>
    <x v="5"/>
    <n v="1"/>
    <x v="38"/>
    <s v="549 Main St"/>
    <s v="Debit Card"/>
    <x v="1"/>
    <s v="Google"/>
    <n v="245.89"/>
  </r>
  <r>
    <s v="ORD200039"/>
    <s v="C96664"/>
    <x v="4"/>
    <n v="3"/>
    <x v="39"/>
    <s v="666 Main St"/>
    <s v="Credit Card"/>
    <x v="4"/>
    <s v="Referral"/>
    <n v="769.37999999999988"/>
  </r>
  <r>
    <s v="ORD200040"/>
    <s v="C84766"/>
    <x v="6"/>
    <n v="2"/>
    <x v="40"/>
    <s v="267 Main St"/>
    <s v="Online"/>
    <x v="4"/>
    <s v="Instagram"/>
    <n v="688.04"/>
  </r>
  <r>
    <s v="ORD200041"/>
    <s v="C20212"/>
    <x v="0"/>
    <n v="3"/>
    <x v="41"/>
    <s v="657 Main St"/>
    <s v="Gift Card"/>
    <x v="4"/>
    <s v="Instagram"/>
    <n v="1834.35"/>
  </r>
  <r>
    <s v="ORD200042"/>
    <s v="C28712"/>
    <x v="4"/>
    <n v="2"/>
    <x v="42"/>
    <s v="980 Main St"/>
    <s v="Cash"/>
    <x v="5"/>
    <s v="Instagram"/>
    <n v="303.32"/>
  </r>
  <r>
    <s v="ORD200043"/>
    <s v="C60572"/>
    <x v="3"/>
    <n v="3"/>
    <x v="43"/>
    <s v="871 Main St"/>
    <s v="Online"/>
    <x v="2"/>
    <s v="Instagram"/>
    <n v="1497.63"/>
  </r>
  <r>
    <s v="ORD200044"/>
    <s v="C73225"/>
    <x v="1"/>
    <n v="2"/>
    <x v="44"/>
    <s v="996 Main St"/>
    <s v="Gift Card"/>
    <x v="1"/>
    <s v="Referral"/>
    <n v="1100.3599999999999"/>
  </r>
  <r>
    <s v="ORD200045"/>
    <s v="C17388"/>
    <x v="3"/>
    <n v="1"/>
    <x v="45"/>
    <s v="157 Main St"/>
    <s v="Debit Card"/>
    <x v="9"/>
    <s v="Facebook"/>
    <n v="317.25"/>
  </r>
  <r>
    <s v="ORD200046"/>
    <s v="C43212"/>
    <x v="0"/>
    <n v="4"/>
    <x v="46"/>
    <s v="223 Main St"/>
    <s v="Debit Card"/>
    <x v="4"/>
    <s v="Instagram"/>
    <n v="2200.56"/>
  </r>
  <r>
    <s v="ORD200047"/>
    <s v="C38134"/>
    <x v="6"/>
    <n v="2"/>
    <x v="47"/>
    <s v="323 Main St"/>
    <s v="Credit Card"/>
    <x v="1"/>
    <s v="Email"/>
    <n v="419.88"/>
  </r>
  <r>
    <s v="ORD200048"/>
    <s v="C12408"/>
    <x v="0"/>
    <n v="2"/>
    <x v="48"/>
    <s v="464 Main St"/>
    <s v="Debit Card"/>
    <x v="4"/>
    <s v="Google"/>
    <n v="161.54"/>
  </r>
  <r>
    <s v="ORD200049"/>
    <s v="C11985"/>
    <x v="4"/>
    <n v="1"/>
    <x v="49"/>
    <s v="633 Main St"/>
    <s v="Credit Card"/>
    <x v="9"/>
    <s v="Email"/>
    <n v="30.44"/>
  </r>
  <r>
    <s v="ORD200050"/>
    <s v="C96494"/>
    <x v="2"/>
    <n v="1"/>
    <x v="50"/>
    <s v="446 Main St"/>
    <s v="Online"/>
    <x v="5"/>
    <s v="Instagram"/>
    <n v="179.22"/>
  </r>
  <r>
    <s v="ORD200051"/>
    <s v="C36778"/>
    <x v="2"/>
    <n v="1"/>
    <x v="51"/>
    <s v="434 Main St"/>
    <s v="Cash"/>
    <x v="7"/>
    <s v="Facebook"/>
    <n v="388.33"/>
  </r>
  <r>
    <s v="ORD200052"/>
    <s v="C30513"/>
    <x v="2"/>
    <n v="1"/>
    <x v="52"/>
    <s v="232 Main St"/>
    <s v="Online"/>
    <x v="3"/>
    <s v="Facebook"/>
    <n v="586.44000000000005"/>
  </r>
  <r>
    <s v="ORD200053"/>
    <s v="C67551"/>
    <x v="1"/>
    <n v="4"/>
    <x v="53"/>
    <s v="512 Main St"/>
    <s v="Online"/>
    <x v="3"/>
    <s v="Google"/>
    <n v="1955.12"/>
  </r>
  <r>
    <s v="ORD200054"/>
    <s v="C48120"/>
    <x v="3"/>
    <n v="1"/>
    <x v="54"/>
    <s v="623 Main St"/>
    <s v="Online"/>
    <x v="3"/>
    <s v="Email"/>
    <n v="280.25"/>
  </r>
  <r>
    <s v="ORD200055"/>
    <s v="C95984"/>
    <x v="4"/>
    <n v="3"/>
    <x v="55"/>
    <s v="565 Main St"/>
    <s v="Online"/>
    <x v="1"/>
    <s v="Facebook"/>
    <n v="1033.2"/>
  </r>
  <r>
    <s v="ORD200056"/>
    <s v="C54298"/>
    <x v="2"/>
    <n v="3"/>
    <x v="56"/>
    <s v="566 Main St"/>
    <s v="Cash"/>
    <x v="3"/>
    <s v="Referral"/>
    <n v="1437.63"/>
  </r>
  <r>
    <s v="ORD200057"/>
    <s v="C88036"/>
    <x v="4"/>
    <n v="5"/>
    <x v="57"/>
    <s v="842 Main St"/>
    <s v="Cash"/>
    <x v="5"/>
    <s v="Instagram"/>
    <n v="1571.35"/>
  </r>
  <r>
    <s v="ORD200058"/>
    <s v="C60190"/>
    <x v="1"/>
    <n v="4"/>
    <x v="58"/>
    <s v="202 Main St"/>
    <s v="Gift Card"/>
    <x v="5"/>
    <s v="Google"/>
    <n v="1898.76"/>
  </r>
  <r>
    <s v="ORD200059"/>
    <s v="C97603"/>
    <x v="3"/>
    <n v="4"/>
    <x v="59"/>
    <s v="811 Main St"/>
    <s v="Online"/>
    <x v="3"/>
    <s v="Facebook"/>
    <n v="2373.08"/>
  </r>
  <r>
    <s v="ORD200060"/>
    <s v="C39256"/>
    <x v="6"/>
    <n v="1"/>
    <x v="60"/>
    <s v="634 Main St"/>
    <s v="Debit Card"/>
    <x v="1"/>
    <s v="Referral"/>
    <n v="417.1"/>
  </r>
  <r>
    <s v="ORD200061"/>
    <s v="C61618"/>
    <x v="6"/>
    <n v="4"/>
    <x v="61"/>
    <s v="104 Main St"/>
    <s v="Cash"/>
    <x v="0"/>
    <s v="Facebook"/>
    <n v="488.8"/>
  </r>
  <r>
    <s v="ORD200062"/>
    <s v="C36497"/>
    <x v="6"/>
    <n v="2"/>
    <x v="62"/>
    <s v="691 Main St"/>
    <s v="Debit Card"/>
    <x v="1"/>
    <s v="Email"/>
    <n v="86.3"/>
  </r>
  <r>
    <s v="ORD200063"/>
    <s v="C96695"/>
    <x v="3"/>
    <n v="1"/>
    <x v="63"/>
    <s v="813 Main St"/>
    <s v="Debit Card"/>
    <x v="5"/>
    <s v="Referral"/>
    <n v="564.86"/>
  </r>
  <r>
    <s v="ORD200064"/>
    <s v="C49720"/>
    <x v="4"/>
    <n v="3"/>
    <x v="64"/>
    <s v="752 Main St"/>
    <s v="Debit Card"/>
    <x v="4"/>
    <s v="Facebook"/>
    <n v="391.83"/>
  </r>
  <r>
    <s v="ORD200065"/>
    <s v="C97735"/>
    <x v="0"/>
    <n v="5"/>
    <x v="65"/>
    <s v="385 Main St"/>
    <s v="Credit Card"/>
    <x v="5"/>
    <s v="Instagram"/>
    <n v="408.5"/>
  </r>
  <r>
    <s v="ORD200066"/>
    <s v="C18104"/>
    <x v="3"/>
    <n v="5"/>
    <x v="66"/>
    <s v="715 Main St"/>
    <s v="Cash"/>
    <x v="6"/>
    <s v="Referral"/>
    <n v="635.90000000000009"/>
  </r>
  <r>
    <s v="ORD200067"/>
    <s v="C25587"/>
    <x v="4"/>
    <n v="4"/>
    <x v="67"/>
    <s v="440 Main St"/>
    <s v="Debit Card"/>
    <x v="2"/>
    <s v="Google"/>
    <n v="48.4"/>
  </r>
  <r>
    <s v="ORD200068"/>
    <s v="C41598"/>
    <x v="3"/>
    <n v="3"/>
    <x v="68"/>
    <s v="709 Main St"/>
    <s v="Credit Card"/>
    <x v="3"/>
    <s v="Email"/>
    <n v="1472.76"/>
  </r>
  <r>
    <s v="ORD200069"/>
    <s v="C43338"/>
    <x v="0"/>
    <n v="3"/>
    <x v="69"/>
    <s v="552 Main St"/>
    <s v="Online"/>
    <x v="4"/>
    <s v="Referral"/>
    <n v="1435.95"/>
  </r>
  <r>
    <s v="ORD200070"/>
    <s v="C25123"/>
    <x v="6"/>
    <n v="1"/>
    <x v="70"/>
    <s v="384 Main St"/>
    <s v="Gift Card"/>
    <x v="7"/>
    <s v="Instagram"/>
    <n v="629.21"/>
  </r>
  <r>
    <s v="ORD200071"/>
    <s v="C37454"/>
    <x v="0"/>
    <n v="3"/>
    <x v="71"/>
    <s v="923 Main St"/>
    <s v="Credit Card"/>
    <x v="4"/>
    <s v="Referral"/>
    <n v="1303.3499999999999"/>
  </r>
  <r>
    <s v="ORD200072"/>
    <s v="C19451"/>
    <x v="2"/>
    <n v="4"/>
    <x v="72"/>
    <s v="942 Main St"/>
    <s v="Gift Card"/>
    <x v="3"/>
    <s v="Facebook"/>
    <n v="2357.7600000000002"/>
  </r>
  <r>
    <s v="ORD200073"/>
    <s v="C17269"/>
    <x v="0"/>
    <n v="4"/>
    <x v="73"/>
    <s v="129 Main St"/>
    <s v="Gift Card"/>
    <x v="4"/>
    <s v="Facebook"/>
    <n v="1733.8"/>
  </r>
  <r>
    <s v="ORD200074"/>
    <s v="C25382"/>
    <x v="1"/>
    <n v="5"/>
    <x v="74"/>
    <s v="622 Main St"/>
    <s v="Cash"/>
    <x v="3"/>
    <s v="Instagram"/>
    <n v="454.35"/>
  </r>
  <r>
    <s v="ORD200075"/>
    <s v="C80651"/>
    <x v="2"/>
    <n v="3"/>
    <x v="75"/>
    <s v="917 Main St"/>
    <s v="Debit Card"/>
    <x v="3"/>
    <s v="Email"/>
    <n v="1194.51"/>
  </r>
  <r>
    <s v="ORD200076"/>
    <s v="C58638"/>
    <x v="5"/>
    <n v="4"/>
    <x v="76"/>
    <s v="239 Main St"/>
    <s v="Cash"/>
    <x v="5"/>
    <s v="Email"/>
    <n v="1531.52"/>
  </r>
  <r>
    <s v="ORD200077"/>
    <s v="C50121"/>
    <x v="1"/>
    <n v="1"/>
    <x v="77"/>
    <s v="348 Main St"/>
    <s v="Credit Card"/>
    <x v="3"/>
    <s v="Google"/>
    <n v="583.17999999999995"/>
  </r>
  <r>
    <s v="ORD200078"/>
    <s v="C32029"/>
    <x v="4"/>
    <n v="4"/>
    <x v="78"/>
    <s v="146 Main St"/>
    <s v="Debit Card"/>
    <x v="4"/>
    <s v="Instagram"/>
    <n v="701.44"/>
  </r>
  <r>
    <s v="ORD200079"/>
    <s v="C76700"/>
    <x v="2"/>
    <n v="2"/>
    <x v="79"/>
    <s v="103 Main St"/>
    <s v="Online"/>
    <x v="7"/>
    <s v="Facebook"/>
    <n v="623.82000000000005"/>
  </r>
  <r>
    <s v="ORD200080"/>
    <s v="C29041"/>
    <x v="1"/>
    <n v="3"/>
    <x v="80"/>
    <s v="591 Main St"/>
    <s v="Online"/>
    <x v="5"/>
    <s v="Facebook"/>
    <n v="1768.68"/>
  </r>
  <r>
    <s v="ORD200081"/>
    <s v="C29314"/>
    <x v="0"/>
    <n v="2"/>
    <x v="81"/>
    <s v="496 Main St"/>
    <s v="Cash"/>
    <x v="5"/>
    <s v="Email"/>
    <n v="788.6"/>
  </r>
  <r>
    <s v="ORD200082"/>
    <s v="C65799"/>
    <x v="2"/>
    <n v="4"/>
    <x v="82"/>
    <s v="971 Main St"/>
    <s v="Debit Card"/>
    <x v="6"/>
    <s v="Google"/>
    <n v="2260.8000000000002"/>
  </r>
  <r>
    <s v="ORD200083"/>
    <s v="C15681"/>
    <x v="5"/>
    <n v="4"/>
    <x v="83"/>
    <s v="989 Main St"/>
    <s v="Credit Card"/>
    <x v="5"/>
    <s v="Referral"/>
    <n v="2161.64"/>
  </r>
  <r>
    <s v="ORD200084"/>
    <s v="C64160"/>
    <x v="0"/>
    <n v="2"/>
    <x v="84"/>
    <s v="967 Main St"/>
    <s v="Online"/>
    <x v="4"/>
    <s v="Instagram"/>
    <n v="330.98"/>
  </r>
  <r>
    <s v="ORD200085"/>
    <s v="C14553"/>
    <x v="2"/>
    <n v="3"/>
    <x v="85"/>
    <s v="768 Main St"/>
    <s v="Cash"/>
    <x v="2"/>
    <s v="Email"/>
    <n v="440.18999999999988"/>
  </r>
  <r>
    <s v="ORD200086"/>
    <s v="C88205"/>
    <x v="4"/>
    <n v="5"/>
    <x v="86"/>
    <s v="447 Main St"/>
    <s v="Online"/>
    <x v="3"/>
    <s v="Referral"/>
    <n v="3215.15"/>
  </r>
  <r>
    <s v="ORD200087"/>
    <s v="C91245"/>
    <x v="2"/>
    <n v="3"/>
    <x v="87"/>
    <s v="915 Main St"/>
    <s v="Cash"/>
    <x v="4"/>
    <s v="Facebook"/>
    <n v="675.33"/>
  </r>
  <r>
    <s v="ORD200088"/>
    <s v="C75439"/>
    <x v="6"/>
    <n v="3"/>
    <x v="88"/>
    <s v="318 Main St"/>
    <s v="Gift Card"/>
    <x v="0"/>
    <s v="Google"/>
    <n v="344.43"/>
  </r>
  <r>
    <s v="ORD200089"/>
    <s v="C17181"/>
    <x v="4"/>
    <n v="5"/>
    <x v="89"/>
    <s v="291 Main St"/>
    <s v="Credit Card"/>
    <x v="2"/>
    <s v="Google"/>
    <n v="2276.65"/>
  </r>
  <r>
    <s v="ORD200090"/>
    <s v="C36540"/>
    <x v="3"/>
    <n v="4"/>
    <x v="90"/>
    <s v="611 Main St"/>
    <s v="Gift Card"/>
    <x v="4"/>
    <s v="Email"/>
    <n v="728.32"/>
  </r>
  <r>
    <s v="ORD200091"/>
    <s v="C98216"/>
    <x v="5"/>
    <n v="5"/>
    <x v="91"/>
    <s v="196 Main St"/>
    <s v="Cash"/>
    <x v="5"/>
    <s v="Referral"/>
    <n v="2463.75"/>
  </r>
  <r>
    <s v="ORD200092"/>
    <s v="C29568"/>
    <x v="4"/>
    <n v="4"/>
    <x v="92"/>
    <s v="203 Main St"/>
    <s v="Online"/>
    <x v="0"/>
    <s v="Facebook"/>
    <n v="194.44"/>
  </r>
  <r>
    <s v="ORD200093"/>
    <s v="C97262"/>
    <x v="6"/>
    <n v="4"/>
    <x v="93"/>
    <s v="837 Main St"/>
    <s v="Credit Card"/>
    <x v="0"/>
    <s v="Referral"/>
    <n v="1724.04"/>
  </r>
  <r>
    <s v="ORD200094"/>
    <s v="C79821"/>
    <x v="3"/>
    <n v="1"/>
    <x v="94"/>
    <s v="781 Main St"/>
    <s v="Gift Card"/>
    <x v="5"/>
    <s v="Instagram"/>
    <n v="531.17999999999995"/>
  </r>
  <r>
    <s v="ORD200095"/>
    <s v="C76761"/>
    <x v="4"/>
    <n v="4"/>
    <x v="95"/>
    <s v="839 Main St"/>
    <s v="Debit Card"/>
    <x v="0"/>
    <s v="Referral"/>
    <n v="470.04"/>
  </r>
  <r>
    <s v="ORD200096"/>
    <s v="C93007"/>
    <x v="1"/>
    <n v="2"/>
    <x v="96"/>
    <s v="103 Main St"/>
    <s v="Gift Card"/>
    <x v="0"/>
    <s v="Instagram"/>
    <n v="465.66"/>
  </r>
  <r>
    <s v="ORD200097"/>
    <s v="C15624"/>
    <x v="2"/>
    <n v="5"/>
    <x v="97"/>
    <s v="922 Main St"/>
    <s v="Debit Card"/>
    <x v="6"/>
    <s v="Email"/>
    <n v="3097.6"/>
  </r>
  <r>
    <s v="ORD200098"/>
    <s v="C70921"/>
    <x v="4"/>
    <n v="2"/>
    <x v="98"/>
    <s v="533 Main St"/>
    <s v="Debit Card"/>
    <x v="1"/>
    <s v="Email"/>
    <n v="457.08"/>
  </r>
  <r>
    <s v="ORD200099"/>
    <s v="C30477"/>
    <x v="4"/>
    <n v="1"/>
    <x v="99"/>
    <s v="717 Main St"/>
    <s v="Debit Card"/>
    <x v="7"/>
    <s v="Email"/>
    <n v="201.58"/>
  </r>
  <r>
    <s v="ORD200100"/>
    <s v="C74866"/>
    <x v="1"/>
    <n v="3"/>
    <x v="100"/>
    <s v="743 Main St"/>
    <s v="Online"/>
    <x v="5"/>
    <s v="Facebook"/>
    <n v="1994.37"/>
  </r>
  <r>
    <s v="ORD200101"/>
    <s v="C15283"/>
    <x v="4"/>
    <n v="1"/>
    <x v="101"/>
    <s v="152 Main St"/>
    <s v="Cash"/>
    <x v="5"/>
    <s v="Google"/>
    <n v="381.02"/>
  </r>
  <r>
    <s v="ORD200102"/>
    <s v="C18037"/>
    <x v="5"/>
    <n v="2"/>
    <x v="102"/>
    <s v="944 Main St"/>
    <s v="Gift Card"/>
    <x v="1"/>
    <s v="Email"/>
    <n v="140.68"/>
  </r>
  <r>
    <s v="ORD200103"/>
    <s v="C62656"/>
    <x v="1"/>
    <n v="4"/>
    <x v="103"/>
    <s v="514 Main St"/>
    <s v="Credit Card"/>
    <x v="6"/>
    <s v="Email"/>
    <n v="873.72"/>
  </r>
  <r>
    <s v="ORD200104"/>
    <s v="C65744"/>
    <x v="1"/>
    <n v="1"/>
    <x v="104"/>
    <s v="647 Main St"/>
    <s v="Gift Card"/>
    <x v="9"/>
    <s v="Email"/>
    <n v="582.04"/>
  </r>
  <r>
    <s v="ORD200105"/>
    <s v="C72290"/>
    <x v="4"/>
    <n v="3"/>
    <x v="105"/>
    <s v="810 Main St"/>
    <s v="Gift Card"/>
    <x v="0"/>
    <s v="Facebook"/>
    <n v="556.20000000000005"/>
  </r>
  <r>
    <s v="ORD200106"/>
    <s v="C73514"/>
    <x v="6"/>
    <n v="3"/>
    <x v="106"/>
    <s v="126 Main St"/>
    <s v="Credit Card"/>
    <x v="1"/>
    <s v="Email"/>
    <n v="1395.15"/>
  </r>
  <r>
    <s v="ORD200107"/>
    <s v="C16775"/>
    <x v="4"/>
    <n v="5"/>
    <x v="107"/>
    <s v="848 Main St"/>
    <s v="Gift Card"/>
    <x v="2"/>
    <s v="Instagram"/>
    <n v="3353.75"/>
  </r>
  <r>
    <s v="ORD200108"/>
    <s v="C33099"/>
    <x v="5"/>
    <n v="5"/>
    <x v="108"/>
    <s v="522 Main St"/>
    <s v="Gift Card"/>
    <x v="6"/>
    <s v="Email"/>
    <n v="241.9"/>
  </r>
  <r>
    <s v="ORD200109"/>
    <s v="C51157"/>
    <x v="6"/>
    <n v="3"/>
    <x v="109"/>
    <s v="131 Main St"/>
    <s v="Gift Card"/>
    <x v="1"/>
    <s v="Referral"/>
    <n v="1778.61"/>
  </r>
  <r>
    <s v="ORD200110"/>
    <s v="C74562"/>
    <x v="2"/>
    <n v="1"/>
    <x v="110"/>
    <s v="388 Main St"/>
    <s v="Gift Card"/>
    <x v="3"/>
    <s v="Instagram"/>
    <n v="220.77"/>
  </r>
  <r>
    <s v="ORD200111"/>
    <s v="C95271"/>
    <x v="6"/>
    <n v="3"/>
    <x v="111"/>
    <s v="620 Main St"/>
    <s v="Online"/>
    <x v="0"/>
    <s v="Google"/>
    <n v="927.66000000000008"/>
  </r>
  <r>
    <s v="ORD200112"/>
    <s v="C81366"/>
    <x v="0"/>
    <n v="1"/>
    <x v="112"/>
    <s v="423 Main St"/>
    <s v="Online"/>
    <x v="7"/>
    <s v="Referral"/>
    <n v="410.6"/>
  </r>
  <r>
    <s v="ORD200113"/>
    <s v="C65905"/>
    <x v="5"/>
    <n v="5"/>
    <x v="113"/>
    <s v="605 Main St"/>
    <s v="Cash"/>
    <x v="6"/>
    <s v="Instagram"/>
    <n v="950.40000000000009"/>
  </r>
  <r>
    <s v="ORD200114"/>
    <s v="C77272"/>
    <x v="0"/>
    <n v="5"/>
    <x v="114"/>
    <s v="115 Main St"/>
    <s v="Online"/>
    <x v="2"/>
    <s v="Google"/>
    <n v="2492.4"/>
  </r>
  <r>
    <s v="ORD200115"/>
    <s v="C32580"/>
    <x v="1"/>
    <n v="5"/>
    <x v="115"/>
    <s v="122 Main St"/>
    <s v="Online"/>
    <x v="6"/>
    <s v="Facebook"/>
    <n v="1874.95"/>
  </r>
  <r>
    <s v="ORD200116"/>
    <s v="C47761"/>
    <x v="4"/>
    <n v="4"/>
    <x v="116"/>
    <s v="109 Main St"/>
    <s v="Credit Card"/>
    <x v="5"/>
    <s v="Facebook"/>
    <n v="1165.4000000000001"/>
  </r>
  <r>
    <s v="ORD200117"/>
    <s v="C49187"/>
    <x v="2"/>
    <n v="1"/>
    <x v="117"/>
    <s v="593 Main St"/>
    <s v="Gift Card"/>
    <x v="3"/>
    <s v="Referral"/>
    <n v="535.5"/>
  </r>
  <r>
    <s v="ORD200118"/>
    <s v="C27898"/>
    <x v="4"/>
    <n v="5"/>
    <x v="118"/>
    <s v="807 Main St"/>
    <s v="Gift Card"/>
    <x v="0"/>
    <s v="Google"/>
    <n v="2513.5500000000002"/>
  </r>
  <r>
    <s v="ORD200119"/>
    <s v="C14683"/>
    <x v="6"/>
    <n v="2"/>
    <x v="119"/>
    <s v="187 Main St"/>
    <s v="Debit Card"/>
    <x v="0"/>
    <s v="Referral"/>
    <n v="1069.3399999999999"/>
  </r>
  <r>
    <s v="ORD200120"/>
    <s v="C58108"/>
    <x v="2"/>
    <n v="4"/>
    <x v="120"/>
    <s v="986 Main St"/>
    <s v="Cash"/>
    <x v="4"/>
    <s v="Instagram"/>
    <n v="2517.36"/>
  </r>
  <r>
    <s v="ORD200121"/>
    <s v="C89822"/>
    <x v="6"/>
    <n v="1"/>
    <x v="121"/>
    <s v="673 Main St"/>
    <s v="Cash"/>
    <x v="9"/>
    <s v="Instagram"/>
    <n v="410.78"/>
  </r>
  <r>
    <s v="ORD200122"/>
    <s v="C96787"/>
    <x v="5"/>
    <n v="2"/>
    <x v="122"/>
    <s v="588 Main St"/>
    <s v="Gift Card"/>
    <x v="7"/>
    <s v="Facebook"/>
    <n v="1066.04"/>
  </r>
  <r>
    <s v="ORD200123"/>
    <s v="C86064"/>
    <x v="6"/>
    <n v="3"/>
    <x v="123"/>
    <s v="727 Main St"/>
    <s v="Online"/>
    <x v="3"/>
    <s v="Instagram"/>
    <n v="834.12000000000012"/>
  </r>
  <r>
    <s v="ORD200124"/>
    <s v="C97148"/>
    <x v="4"/>
    <n v="4"/>
    <x v="124"/>
    <s v="563 Main St"/>
    <s v="Online"/>
    <x v="2"/>
    <s v="Google"/>
    <n v="1135.1600000000001"/>
  </r>
  <r>
    <s v="ORD200125"/>
    <s v="C91099"/>
    <x v="1"/>
    <n v="2"/>
    <x v="125"/>
    <s v="758 Main St"/>
    <s v="Credit Card"/>
    <x v="3"/>
    <s v="Email"/>
    <n v="1025.3"/>
  </r>
  <r>
    <s v="ORD200126"/>
    <s v="C55606"/>
    <x v="6"/>
    <n v="4"/>
    <x v="126"/>
    <s v="353 Main St"/>
    <s v="Gift Card"/>
    <x v="2"/>
    <s v="Google"/>
    <n v="1102"/>
  </r>
  <r>
    <s v="ORD200127"/>
    <s v="C71486"/>
    <x v="6"/>
    <n v="3"/>
    <x v="127"/>
    <s v="365 Main St"/>
    <s v="Debit Card"/>
    <x v="1"/>
    <s v="Google"/>
    <n v="1407.96"/>
  </r>
  <r>
    <s v="ORD200128"/>
    <s v="C86408"/>
    <x v="2"/>
    <n v="4"/>
    <x v="128"/>
    <s v="244 Main St"/>
    <s v="Gift Card"/>
    <x v="4"/>
    <s v="Google"/>
    <n v="84.28"/>
  </r>
  <r>
    <s v="ORD200129"/>
    <s v="C52751"/>
    <x v="5"/>
    <n v="4"/>
    <x v="129"/>
    <s v="427 Main St"/>
    <s v="Debit Card"/>
    <x v="4"/>
    <s v="Facebook"/>
    <n v="1055.72"/>
  </r>
  <r>
    <s v="ORD200130"/>
    <s v="C29059"/>
    <x v="6"/>
    <n v="3"/>
    <x v="130"/>
    <s v="513 Main St"/>
    <s v="Online"/>
    <x v="1"/>
    <s v="Facebook"/>
    <n v="1503.9"/>
  </r>
  <r>
    <s v="ORD200131"/>
    <s v="C72862"/>
    <x v="2"/>
    <n v="1"/>
    <x v="131"/>
    <s v="606 Main St"/>
    <s v="Gift Card"/>
    <x v="3"/>
    <s v="Instagram"/>
    <n v="84.8"/>
  </r>
  <r>
    <s v="ORD200132"/>
    <s v="C96257"/>
    <x v="2"/>
    <n v="4"/>
    <x v="132"/>
    <s v="583 Main St"/>
    <s v="Credit Card"/>
    <x v="5"/>
    <s v="Email"/>
    <n v="1803"/>
  </r>
  <r>
    <s v="ORD200133"/>
    <s v="C87432"/>
    <x v="3"/>
    <n v="4"/>
    <x v="133"/>
    <s v="636 Main St"/>
    <s v="Debit Card"/>
    <x v="5"/>
    <s v="Google"/>
    <n v="1208.2"/>
  </r>
  <r>
    <s v="ORD200134"/>
    <s v="C16253"/>
    <x v="5"/>
    <n v="2"/>
    <x v="134"/>
    <s v="583 Main St"/>
    <s v="Cash"/>
    <x v="4"/>
    <s v="Email"/>
    <n v="399.4"/>
  </r>
  <r>
    <s v="ORD200135"/>
    <s v="C79909"/>
    <x v="4"/>
    <n v="2"/>
    <x v="135"/>
    <s v="642 Main St"/>
    <s v="Gift Card"/>
    <x v="3"/>
    <s v="Referral"/>
    <n v="137.62"/>
  </r>
  <r>
    <s v="ORD200136"/>
    <s v="C73370"/>
    <x v="5"/>
    <n v="1"/>
    <x v="136"/>
    <s v="595 Main St"/>
    <s v="Gift Card"/>
    <x v="9"/>
    <s v="Instagram"/>
    <n v="44.35"/>
  </r>
  <r>
    <s v="ORD200137"/>
    <s v="C50682"/>
    <x v="0"/>
    <n v="2"/>
    <x v="137"/>
    <s v="598 Main St"/>
    <s v="Credit Card"/>
    <x v="3"/>
    <s v="Google"/>
    <n v="501.96"/>
  </r>
  <r>
    <s v="ORD200138"/>
    <s v="C21905"/>
    <x v="2"/>
    <n v="1"/>
    <x v="138"/>
    <s v="478 Main St"/>
    <s v="Debit Card"/>
    <x v="1"/>
    <s v="Google"/>
    <n v="298.06"/>
  </r>
  <r>
    <s v="ORD200139"/>
    <s v="C61440"/>
    <x v="1"/>
    <n v="1"/>
    <x v="139"/>
    <s v="714 Main St"/>
    <s v="Cash"/>
    <x v="9"/>
    <s v="Email"/>
    <n v="583.9"/>
  </r>
  <r>
    <s v="ORD200140"/>
    <s v="C33110"/>
    <x v="3"/>
    <n v="3"/>
    <x v="140"/>
    <s v="388 Main St"/>
    <s v="Online"/>
    <x v="1"/>
    <s v="Email"/>
    <n v="1584.42"/>
  </r>
  <r>
    <s v="ORD200141"/>
    <s v="C80004"/>
    <x v="4"/>
    <n v="3"/>
    <x v="141"/>
    <s v="151 Main St"/>
    <s v="Cash"/>
    <x v="1"/>
    <s v="Instagram"/>
    <n v="2052.42"/>
  </r>
  <r>
    <s v="ORD200142"/>
    <s v="C86374"/>
    <x v="6"/>
    <n v="5"/>
    <x v="142"/>
    <s v="573 Main St"/>
    <s v="Cash"/>
    <x v="0"/>
    <s v="Email"/>
    <n v="1363.85"/>
  </r>
  <r>
    <s v="ORD200143"/>
    <s v="C66521"/>
    <x v="3"/>
    <n v="4"/>
    <x v="143"/>
    <s v="933 Main St"/>
    <s v="Online"/>
    <x v="3"/>
    <s v="Referral"/>
    <n v="1600.28"/>
  </r>
  <r>
    <s v="ORD200144"/>
    <s v="C63365"/>
    <x v="6"/>
    <n v="5"/>
    <x v="144"/>
    <s v="895 Main St"/>
    <s v="Credit Card"/>
    <x v="2"/>
    <s v="Facebook"/>
    <n v="1098.9000000000001"/>
  </r>
  <r>
    <s v="ORD200145"/>
    <s v="C85929"/>
    <x v="4"/>
    <n v="3"/>
    <x v="145"/>
    <s v="798 Main St"/>
    <s v="Credit Card"/>
    <x v="5"/>
    <s v="Google"/>
    <n v="440.73"/>
  </r>
  <r>
    <s v="ORD200146"/>
    <s v="C84645"/>
    <x v="2"/>
    <n v="2"/>
    <x v="146"/>
    <s v="404 Main St"/>
    <s v="Credit Card"/>
    <x v="4"/>
    <s v="Instagram"/>
    <n v="822.98"/>
  </r>
  <r>
    <s v="ORD200147"/>
    <s v="C46316"/>
    <x v="5"/>
    <n v="2"/>
    <x v="147"/>
    <s v="893 Main St"/>
    <s v="Credit Card"/>
    <x v="7"/>
    <s v="Google"/>
    <n v="930.36"/>
  </r>
  <r>
    <s v="ORD200148"/>
    <s v="C35100"/>
    <x v="1"/>
    <n v="2"/>
    <x v="148"/>
    <s v="139 Main St"/>
    <s v="Credit Card"/>
    <x v="1"/>
    <s v="Google"/>
    <n v="639.82000000000005"/>
  </r>
  <r>
    <s v="ORD200149"/>
    <s v="C39671"/>
    <x v="5"/>
    <n v="1"/>
    <x v="149"/>
    <s v="174 Main St"/>
    <s v="Debit Card"/>
    <x v="1"/>
    <s v="Facebook"/>
    <n v="217.56"/>
  </r>
  <r>
    <s v="ORD200150"/>
    <s v="C25503"/>
    <x v="1"/>
    <n v="2"/>
    <x v="150"/>
    <s v="981 Main St"/>
    <s v="Debit Card"/>
    <x v="3"/>
    <s v="Google"/>
    <n v="211.14"/>
  </r>
  <r>
    <s v="ORD200151"/>
    <s v="C32960"/>
    <x v="4"/>
    <n v="5"/>
    <x v="151"/>
    <s v="947 Main St"/>
    <s v="Debit Card"/>
    <x v="0"/>
    <s v="Email"/>
    <n v="2223.8000000000002"/>
  </r>
  <r>
    <s v="ORD200152"/>
    <s v="C77736"/>
    <x v="3"/>
    <n v="2"/>
    <x v="152"/>
    <s v="659 Main St"/>
    <s v="Cash"/>
    <x v="1"/>
    <s v="Referral"/>
    <n v="798.08"/>
  </r>
  <r>
    <s v="ORD200153"/>
    <s v="C71570"/>
    <x v="3"/>
    <n v="4"/>
    <x v="153"/>
    <s v="437 Main St"/>
    <s v="Online"/>
    <x v="6"/>
    <s v="Instagram"/>
    <n v="2137.92"/>
  </r>
  <r>
    <s v="ORD200154"/>
    <s v="C73587"/>
    <x v="1"/>
    <n v="4"/>
    <x v="154"/>
    <s v="727 Main St"/>
    <s v="Credit Card"/>
    <x v="6"/>
    <s v="Instagram"/>
    <n v="1632.84"/>
  </r>
  <r>
    <s v="ORD200155"/>
    <s v="C62740"/>
    <x v="1"/>
    <n v="1"/>
    <x v="155"/>
    <s v="446 Main St"/>
    <s v="Online"/>
    <x v="5"/>
    <s v="Referral"/>
    <n v="424.4"/>
  </r>
  <r>
    <s v="ORD200156"/>
    <s v="C58808"/>
    <x v="3"/>
    <n v="2"/>
    <x v="156"/>
    <s v="651 Main St"/>
    <s v="Online"/>
    <x v="4"/>
    <s v="Email"/>
    <n v="539.66"/>
  </r>
  <r>
    <s v="ORD200157"/>
    <s v="C50422"/>
    <x v="0"/>
    <n v="2"/>
    <x v="157"/>
    <s v="636 Main St"/>
    <s v="Online"/>
    <x v="4"/>
    <s v="Facebook"/>
    <n v="1129.1600000000001"/>
  </r>
  <r>
    <s v="ORD200158"/>
    <s v="C23334"/>
    <x v="2"/>
    <n v="1"/>
    <x v="158"/>
    <s v="737 Main St"/>
    <s v="Credit Card"/>
    <x v="3"/>
    <s v="Instagram"/>
    <n v="331.06"/>
  </r>
  <r>
    <s v="ORD200159"/>
    <s v="C48965"/>
    <x v="4"/>
    <n v="1"/>
    <x v="159"/>
    <s v="819 Main St"/>
    <s v="Credit Card"/>
    <x v="3"/>
    <s v="Email"/>
    <n v="299.35000000000002"/>
  </r>
  <r>
    <s v="ORD200160"/>
    <s v="C38669"/>
    <x v="0"/>
    <n v="4"/>
    <x v="160"/>
    <s v="240 Main St"/>
    <s v="Cash"/>
    <x v="0"/>
    <s v="Referral"/>
    <n v="405.28"/>
  </r>
  <r>
    <s v="ORD200161"/>
    <s v="C35091"/>
    <x v="0"/>
    <n v="1"/>
    <x v="161"/>
    <s v="513 Main St"/>
    <s v="Credit Card"/>
    <x v="9"/>
    <s v="Facebook"/>
    <n v="211.14"/>
  </r>
  <r>
    <s v="ORD200162"/>
    <s v="C82313"/>
    <x v="3"/>
    <n v="3"/>
    <x v="162"/>
    <s v="917 Main St"/>
    <s v="Online"/>
    <x v="2"/>
    <s v="Google"/>
    <n v="197.58"/>
  </r>
  <r>
    <s v="ORD200163"/>
    <s v="C99589"/>
    <x v="2"/>
    <n v="1"/>
    <x v="163"/>
    <s v="277 Main St"/>
    <s v="Online"/>
    <x v="9"/>
    <s v="Referral"/>
    <n v="641.39"/>
  </r>
  <r>
    <s v="ORD200164"/>
    <s v="C70566"/>
    <x v="6"/>
    <n v="5"/>
    <x v="164"/>
    <s v="667 Main St"/>
    <s v="Gift Card"/>
    <x v="3"/>
    <s v="Google"/>
    <n v="2682.9"/>
  </r>
  <r>
    <s v="ORD200165"/>
    <s v="C60355"/>
    <x v="0"/>
    <n v="2"/>
    <x v="165"/>
    <s v="226 Main St"/>
    <s v="Online"/>
    <x v="0"/>
    <s v="Google"/>
    <n v="1000.58"/>
  </r>
  <r>
    <s v="ORD200166"/>
    <s v="C28889"/>
    <x v="3"/>
    <n v="3"/>
    <x v="166"/>
    <s v="565 Main St"/>
    <s v="Cash"/>
    <x v="5"/>
    <s v="Instagram"/>
    <n v="258.87"/>
  </r>
  <r>
    <s v="ORD200167"/>
    <s v="C88304"/>
    <x v="3"/>
    <n v="2"/>
    <x v="167"/>
    <s v="219 Main St"/>
    <s v="Online"/>
    <x v="7"/>
    <s v="Email"/>
    <n v="768.28"/>
  </r>
  <r>
    <s v="ORD200168"/>
    <s v="C49517"/>
    <x v="4"/>
    <n v="1"/>
    <x v="168"/>
    <s v="878 Main St"/>
    <s v="Cash"/>
    <x v="5"/>
    <s v="Facebook"/>
    <n v="594.96"/>
  </r>
  <r>
    <s v="ORD200169"/>
    <s v="C35785"/>
    <x v="4"/>
    <n v="1"/>
    <x v="169"/>
    <s v="732 Main St"/>
    <s v="Online"/>
    <x v="7"/>
    <s v="Email"/>
    <n v="427.82"/>
  </r>
  <r>
    <s v="ORD200170"/>
    <s v="C80223"/>
    <x v="6"/>
    <n v="4"/>
    <x v="170"/>
    <s v="535 Main St"/>
    <s v="Cash"/>
    <x v="2"/>
    <s v="Instagram"/>
    <n v="2651.76"/>
  </r>
  <r>
    <s v="ORD200171"/>
    <s v="C20448"/>
    <x v="2"/>
    <n v="2"/>
    <x v="171"/>
    <s v="336 Main St"/>
    <s v="Credit Card"/>
    <x v="0"/>
    <s v="Instagram"/>
    <n v="296.44"/>
  </r>
  <r>
    <s v="ORD200172"/>
    <s v="C34134"/>
    <x v="4"/>
    <n v="1"/>
    <x v="172"/>
    <s v="365 Main St"/>
    <s v="Online"/>
    <x v="9"/>
    <s v="Email"/>
    <n v="254.12"/>
  </r>
  <r>
    <s v="ORD200173"/>
    <s v="C95901"/>
    <x v="1"/>
    <n v="3"/>
    <x v="173"/>
    <s v="806 Main St"/>
    <s v="Online"/>
    <x v="4"/>
    <s v="Google"/>
    <n v="1993.38"/>
  </r>
  <r>
    <s v="ORD200174"/>
    <s v="C51145"/>
    <x v="4"/>
    <n v="4"/>
    <x v="174"/>
    <s v="790 Main St"/>
    <s v="Debit Card"/>
    <x v="6"/>
    <s v="Email"/>
    <n v="2403.2399999999998"/>
  </r>
  <r>
    <s v="ORD200175"/>
    <s v="C78170"/>
    <x v="3"/>
    <n v="5"/>
    <x v="175"/>
    <s v="332 Main St"/>
    <s v="Debit Card"/>
    <x v="5"/>
    <s v="Referral"/>
    <n v="341.7"/>
  </r>
  <r>
    <s v="ORD200176"/>
    <s v="C80151"/>
    <x v="2"/>
    <n v="4"/>
    <x v="176"/>
    <s v="553 Main St"/>
    <s v="Gift Card"/>
    <x v="2"/>
    <s v="Referral"/>
    <n v="1723.32"/>
  </r>
  <r>
    <s v="ORD200177"/>
    <s v="C55632"/>
    <x v="3"/>
    <n v="5"/>
    <x v="177"/>
    <s v="354 Main St"/>
    <s v="Credit Card"/>
    <x v="8"/>
    <s v="Facebook"/>
    <n v="2158.4499999999998"/>
  </r>
  <r>
    <s v="ORD200178"/>
    <s v="C53070"/>
    <x v="3"/>
    <n v="4"/>
    <x v="178"/>
    <s v="283 Main St"/>
    <s v="Online"/>
    <x v="3"/>
    <s v="Google"/>
    <n v="2048.2399999999998"/>
  </r>
  <r>
    <s v="ORD200179"/>
    <s v="C27401"/>
    <x v="5"/>
    <n v="3"/>
    <x v="179"/>
    <s v="500 Main St"/>
    <s v="Credit Card"/>
    <x v="2"/>
    <s v="Email"/>
    <n v="1619.73"/>
  </r>
  <r>
    <s v="ORD200180"/>
    <s v="C87216"/>
    <x v="2"/>
    <n v="5"/>
    <x v="180"/>
    <s v="970 Main St"/>
    <s v="Cash"/>
    <x v="8"/>
    <s v="Google"/>
    <n v="1580.35"/>
  </r>
  <r>
    <s v="ORD200181"/>
    <s v="C38966"/>
    <x v="4"/>
    <n v="5"/>
    <x v="181"/>
    <s v="247 Main St"/>
    <s v="Online"/>
    <x v="8"/>
    <s v="Referral"/>
    <n v="2021.95"/>
  </r>
  <r>
    <s v="ORD200182"/>
    <s v="C16612"/>
    <x v="6"/>
    <n v="1"/>
    <x v="182"/>
    <s v="596 Main St"/>
    <s v="Debit Card"/>
    <x v="4"/>
    <s v="Google"/>
    <n v="600.54"/>
  </r>
  <r>
    <s v="ORD200183"/>
    <s v="C39246"/>
    <x v="0"/>
    <n v="5"/>
    <x v="183"/>
    <s v="258 Main St"/>
    <s v="Debit Card"/>
    <x v="2"/>
    <s v="Email"/>
    <n v="931.4"/>
  </r>
  <r>
    <s v="ORD200184"/>
    <s v="C65180"/>
    <x v="2"/>
    <n v="4"/>
    <x v="184"/>
    <s v="231 Main St"/>
    <s v="Gift Card"/>
    <x v="0"/>
    <s v="Referral"/>
    <n v="858.16"/>
  </r>
  <r>
    <s v="ORD200185"/>
    <s v="C46877"/>
    <x v="5"/>
    <n v="1"/>
    <x v="185"/>
    <s v="572 Main St"/>
    <s v="Online"/>
    <x v="7"/>
    <s v="Referral"/>
    <n v="210.7"/>
  </r>
  <r>
    <s v="ORD200186"/>
    <s v="C30334"/>
    <x v="1"/>
    <n v="2"/>
    <x v="186"/>
    <s v="322 Main St"/>
    <s v="Cash"/>
    <x v="0"/>
    <s v="Facebook"/>
    <n v="267.10000000000002"/>
  </r>
  <r>
    <s v="ORD200187"/>
    <s v="C21227"/>
    <x v="3"/>
    <n v="1"/>
    <x v="187"/>
    <s v="689 Main St"/>
    <s v="Gift Card"/>
    <x v="5"/>
    <s v="Referral"/>
    <n v="590.87"/>
  </r>
  <r>
    <s v="ORD200188"/>
    <s v="C97715"/>
    <x v="3"/>
    <n v="2"/>
    <x v="188"/>
    <s v="927 Main St"/>
    <s v="Gift Card"/>
    <x v="7"/>
    <s v="Referral"/>
    <n v="727.82"/>
  </r>
  <r>
    <s v="ORD200189"/>
    <s v="C48939"/>
    <x v="4"/>
    <n v="5"/>
    <x v="189"/>
    <s v="597 Main St"/>
    <s v="Gift Card"/>
    <x v="3"/>
    <s v="Email"/>
    <n v="2147.25"/>
  </r>
  <r>
    <s v="ORD200190"/>
    <s v="C35483"/>
    <x v="4"/>
    <n v="3"/>
    <x v="190"/>
    <s v="725 Main St"/>
    <s v="Cash"/>
    <x v="1"/>
    <s v="Email"/>
    <n v="671.09999999999991"/>
  </r>
  <r>
    <s v="ORD200191"/>
    <s v="C51494"/>
    <x v="5"/>
    <n v="2"/>
    <x v="191"/>
    <s v="505 Main St"/>
    <s v="Online"/>
    <x v="4"/>
    <s v="Google"/>
    <n v="977.74"/>
  </r>
  <r>
    <s v="ORD200192"/>
    <s v="C58410"/>
    <x v="6"/>
    <n v="1"/>
    <x v="192"/>
    <s v="151 Main St"/>
    <s v="Gift Card"/>
    <x v="3"/>
    <s v="Google"/>
    <n v="645.46"/>
  </r>
  <r>
    <s v="ORD200193"/>
    <s v="C11644"/>
    <x v="4"/>
    <n v="1"/>
    <x v="193"/>
    <s v="429 Main St"/>
    <s v="Cash"/>
    <x v="5"/>
    <s v="Google"/>
    <n v="46.66"/>
  </r>
  <r>
    <s v="ORD200194"/>
    <s v="C53501"/>
    <x v="0"/>
    <n v="1"/>
    <x v="194"/>
    <s v="899 Main St"/>
    <s v="Cash"/>
    <x v="1"/>
    <s v="Google"/>
    <n v="249.57"/>
  </r>
  <r>
    <s v="ORD200195"/>
    <s v="C63619"/>
    <x v="3"/>
    <n v="3"/>
    <x v="195"/>
    <s v="801 Main St"/>
    <s v="Debit Card"/>
    <x v="5"/>
    <s v="Email"/>
    <n v="1857.63"/>
  </r>
  <r>
    <s v="ORD200196"/>
    <s v="C40882"/>
    <x v="6"/>
    <n v="4"/>
    <x v="196"/>
    <s v="719 Main St"/>
    <s v="Cash"/>
    <x v="2"/>
    <s v="Email"/>
    <n v="868.52"/>
  </r>
  <r>
    <s v="ORD200197"/>
    <s v="C80135"/>
    <x v="5"/>
    <n v="5"/>
    <x v="197"/>
    <s v="723 Main St"/>
    <s v="Cash"/>
    <x v="3"/>
    <s v="Referral"/>
    <n v="1107.55"/>
  </r>
  <r>
    <s v="ORD200198"/>
    <s v="C37594"/>
    <x v="5"/>
    <n v="4"/>
    <x v="198"/>
    <s v="926 Main St"/>
    <s v="Cash"/>
    <x v="2"/>
    <s v="Referral"/>
    <n v="1361.2"/>
  </r>
  <r>
    <s v="ORD200199"/>
    <s v="C87524"/>
    <x v="1"/>
    <n v="1"/>
    <x v="199"/>
    <s v="358 Main St"/>
    <s v="Online"/>
    <x v="3"/>
    <s v="Google"/>
    <n v="625"/>
  </r>
  <r>
    <s v="ORD200200"/>
    <s v="C97681"/>
    <x v="2"/>
    <n v="5"/>
    <x v="200"/>
    <s v="895 Main St"/>
    <s v="Credit Card"/>
    <x v="6"/>
    <s v="Google"/>
    <n v="2166.3000000000002"/>
  </r>
  <r>
    <s v="ORD200201"/>
    <s v="C10126"/>
    <x v="0"/>
    <n v="2"/>
    <x v="201"/>
    <s v="146 Main St"/>
    <s v="Online"/>
    <x v="4"/>
    <s v="Facebook"/>
    <n v="1349.8"/>
  </r>
  <r>
    <s v="ORD200202"/>
    <s v="C36938"/>
    <x v="0"/>
    <n v="3"/>
    <x v="202"/>
    <s v="636 Main St"/>
    <s v="Credit Card"/>
    <x v="1"/>
    <s v="Email"/>
    <n v="761.93999999999994"/>
  </r>
  <r>
    <s v="ORD200203"/>
    <s v="C99173"/>
    <x v="4"/>
    <n v="3"/>
    <x v="203"/>
    <s v="172 Main St"/>
    <s v="Online"/>
    <x v="3"/>
    <s v="Instagram"/>
    <n v="1070.52"/>
  </r>
  <r>
    <s v="ORD200204"/>
    <s v="C99775"/>
    <x v="5"/>
    <n v="4"/>
    <x v="204"/>
    <s v="478 Main St"/>
    <s v="Gift Card"/>
    <x v="6"/>
    <s v="Facebook"/>
    <n v="1654.84"/>
  </r>
  <r>
    <s v="ORD200205"/>
    <s v="C19266"/>
    <x v="6"/>
    <n v="3"/>
    <x v="205"/>
    <s v="609 Main St"/>
    <s v="Debit Card"/>
    <x v="1"/>
    <s v="Email"/>
    <n v="442.17"/>
  </r>
  <r>
    <s v="ORD200206"/>
    <s v="C31072"/>
    <x v="5"/>
    <n v="4"/>
    <x v="206"/>
    <s v="729 Main St"/>
    <s v="Gift Card"/>
    <x v="2"/>
    <s v="Email"/>
    <n v="916.4"/>
  </r>
  <r>
    <s v="ORD200207"/>
    <s v="C54595"/>
    <x v="1"/>
    <n v="1"/>
    <x v="207"/>
    <s v="999 Main St"/>
    <s v="Debit Card"/>
    <x v="1"/>
    <s v="Google"/>
    <n v="121.96"/>
  </r>
  <r>
    <s v="ORD200208"/>
    <s v="C87777"/>
    <x v="6"/>
    <n v="2"/>
    <x v="208"/>
    <s v="597 Main St"/>
    <s v="Online"/>
    <x v="1"/>
    <s v="Facebook"/>
    <n v="816.64"/>
  </r>
  <r>
    <s v="ORD200209"/>
    <s v="C35854"/>
    <x v="2"/>
    <n v="5"/>
    <x v="209"/>
    <s v="706 Main St"/>
    <s v="Cash"/>
    <x v="6"/>
    <s v="Google"/>
    <n v="939.85"/>
  </r>
  <r>
    <s v="ORD200210"/>
    <s v="C93821"/>
    <x v="3"/>
    <n v="3"/>
    <x v="210"/>
    <s v="513 Main St"/>
    <s v="Gift Card"/>
    <x v="0"/>
    <s v="Facebook"/>
    <n v="1075.44"/>
  </r>
  <r>
    <s v="ORD200211"/>
    <s v="C54390"/>
    <x v="4"/>
    <n v="3"/>
    <x v="211"/>
    <s v="185 Main St"/>
    <s v="Gift Card"/>
    <x v="0"/>
    <s v="Email"/>
    <n v="580.74"/>
  </r>
  <r>
    <s v="ORD200212"/>
    <s v="C53215"/>
    <x v="0"/>
    <n v="1"/>
    <x v="212"/>
    <s v="367 Main St"/>
    <s v="Credit Card"/>
    <x v="5"/>
    <s v="Email"/>
    <n v="265.38"/>
  </r>
  <r>
    <s v="ORD200213"/>
    <s v="C71122"/>
    <x v="5"/>
    <n v="1"/>
    <x v="213"/>
    <s v="317 Main St"/>
    <s v="Cash"/>
    <x v="5"/>
    <s v="Email"/>
    <n v="634.4"/>
  </r>
  <r>
    <s v="ORD200214"/>
    <s v="C29483"/>
    <x v="6"/>
    <n v="4"/>
    <x v="214"/>
    <s v="673 Main St"/>
    <s v="Online"/>
    <x v="3"/>
    <s v="Facebook"/>
    <n v="1222.8800000000001"/>
  </r>
  <r>
    <s v="ORD200215"/>
    <s v="C26767"/>
    <x v="4"/>
    <n v="1"/>
    <x v="215"/>
    <s v="432 Main St"/>
    <s v="Cash"/>
    <x v="3"/>
    <s v="Facebook"/>
    <n v="303.60000000000002"/>
  </r>
  <r>
    <s v="ORD200216"/>
    <s v="C70492"/>
    <x v="0"/>
    <n v="4"/>
    <x v="216"/>
    <s v="811 Main St"/>
    <s v="Online"/>
    <x v="2"/>
    <s v="Google"/>
    <n v="1984"/>
  </r>
  <r>
    <s v="ORD200217"/>
    <s v="C61549"/>
    <x v="6"/>
    <n v="4"/>
    <x v="217"/>
    <s v="908 Main St"/>
    <s v="Cash"/>
    <x v="6"/>
    <s v="Google"/>
    <n v="1286.04"/>
  </r>
  <r>
    <s v="ORD200218"/>
    <s v="C11665"/>
    <x v="2"/>
    <n v="3"/>
    <x v="218"/>
    <s v="882 Main St"/>
    <s v="Gift Card"/>
    <x v="5"/>
    <s v="Instagram"/>
    <n v="337.38"/>
  </r>
  <r>
    <s v="ORD200219"/>
    <s v="C48946"/>
    <x v="5"/>
    <n v="5"/>
    <x v="219"/>
    <s v="457 Main St"/>
    <s v="Cash"/>
    <x v="5"/>
    <s v="Email"/>
    <n v="309.85000000000002"/>
  </r>
  <r>
    <s v="ORD200220"/>
    <s v="C79506"/>
    <x v="5"/>
    <n v="2"/>
    <x v="220"/>
    <s v="497 Main St"/>
    <s v="Credit Card"/>
    <x v="5"/>
    <s v="Referral"/>
    <n v="746.34"/>
  </r>
  <r>
    <s v="ORD200221"/>
    <s v="C93473"/>
    <x v="2"/>
    <n v="5"/>
    <x v="221"/>
    <s v="552 Main St"/>
    <s v="Debit Card"/>
    <x v="5"/>
    <s v="Google"/>
    <n v="3196.85"/>
  </r>
  <r>
    <s v="ORD200222"/>
    <s v="C43124"/>
    <x v="3"/>
    <n v="4"/>
    <x v="222"/>
    <s v="931 Main St"/>
    <s v="Online"/>
    <x v="2"/>
    <s v="Instagram"/>
    <n v="2773.44"/>
  </r>
  <r>
    <s v="ORD200223"/>
    <s v="C22783"/>
    <x v="1"/>
    <n v="4"/>
    <x v="223"/>
    <s v="673 Main St"/>
    <s v="Credit Card"/>
    <x v="6"/>
    <s v="Instagram"/>
    <n v="2771.64"/>
  </r>
  <r>
    <s v="ORD200224"/>
    <s v="C18567"/>
    <x v="4"/>
    <n v="4"/>
    <x v="224"/>
    <s v="507 Main St"/>
    <s v="Cash"/>
    <x v="6"/>
    <s v="Referral"/>
    <n v="365.84"/>
  </r>
  <r>
    <s v="ORD200225"/>
    <s v="C99879"/>
    <x v="1"/>
    <n v="3"/>
    <x v="225"/>
    <s v="692 Main St"/>
    <s v="Debit Card"/>
    <x v="2"/>
    <s v="Google"/>
    <n v="821.87999999999988"/>
  </r>
  <r>
    <s v="ORD200226"/>
    <s v="C31501"/>
    <x v="6"/>
    <n v="3"/>
    <x v="226"/>
    <s v="242 Main St"/>
    <s v="Gift Card"/>
    <x v="2"/>
    <s v="Instagram"/>
    <n v="1764.15"/>
  </r>
  <r>
    <s v="ORD200227"/>
    <s v="C93220"/>
    <x v="0"/>
    <n v="2"/>
    <x v="227"/>
    <s v="353 Main St"/>
    <s v="Online"/>
    <x v="4"/>
    <s v="Facebook"/>
    <n v="730.34"/>
  </r>
  <r>
    <s v="ORD200228"/>
    <s v="C57867"/>
    <x v="3"/>
    <n v="4"/>
    <x v="228"/>
    <s v="579 Main St"/>
    <s v="Credit Card"/>
    <x v="2"/>
    <s v="Instagram"/>
    <n v="1543.68"/>
  </r>
  <r>
    <s v="ORD200229"/>
    <s v="C62622"/>
    <x v="2"/>
    <n v="1"/>
    <x v="229"/>
    <s v="762 Main St"/>
    <s v="Credit Card"/>
    <x v="1"/>
    <s v="Facebook"/>
    <n v="562.61"/>
  </r>
  <r>
    <s v="ORD200230"/>
    <s v="C94595"/>
    <x v="6"/>
    <n v="4"/>
    <x v="230"/>
    <s v="948 Main St"/>
    <s v="Gift Card"/>
    <x v="5"/>
    <s v="Email"/>
    <n v="247.64"/>
  </r>
  <r>
    <s v="ORD200231"/>
    <s v="C30955"/>
    <x v="1"/>
    <n v="4"/>
    <x v="231"/>
    <s v="327 Main St"/>
    <s v="Gift Card"/>
    <x v="6"/>
    <s v="Instagram"/>
    <n v="167.6"/>
  </r>
  <r>
    <s v="ORD200232"/>
    <s v="C20731"/>
    <x v="4"/>
    <n v="4"/>
    <x v="232"/>
    <s v="610 Main St"/>
    <s v="Debit Card"/>
    <x v="2"/>
    <s v="Google"/>
    <n v="1777.76"/>
  </r>
  <r>
    <s v="ORD200233"/>
    <s v="C30168"/>
    <x v="1"/>
    <n v="3"/>
    <x v="233"/>
    <s v="146 Main St"/>
    <s v="Cash"/>
    <x v="1"/>
    <s v="Instagram"/>
    <n v="933.99"/>
  </r>
  <r>
    <s v="ORD200234"/>
    <s v="C79842"/>
    <x v="4"/>
    <n v="4"/>
    <x v="234"/>
    <s v="337 Main St"/>
    <s v="Debit Card"/>
    <x v="0"/>
    <s v="Google"/>
    <n v="945.64"/>
  </r>
  <r>
    <s v="ORD200235"/>
    <s v="C32854"/>
    <x v="6"/>
    <n v="1"/>
    <x v="235"/>
    <s v="815 Main St"/>
    <s v="Cash"/>
    <x v="7"/>
    <s v="Google"/>
    <n v="65.45"/>
  </r>
  <r>
    <s v="ORD200236"/>
    <s v="C14847"/>
    <x v="0"/>
    <n v="1"/>
    <x v="236"/>
    <s v="562 Main St"/>
    <s v="Debit Card"/>
    <x v="1"/>
    <s v="Email"/>
    <n v="318.81"/>
  </r>
  <r>
    <s v="ORD200237"/>
    <s v="C88645"/>
    <x v="0"/>
    <n v="3"/>
    <x v="237"/>
    <s v="783 Main St"/>
    <s v="Credit Card"/>
    <x v="3"/>
    <s v="Facebook"/>
    <n v="1751.16"/>
  </r>
  <r>
    <s v="ORD200238"/>
    <s v="C66149"/>
    <x v="6"/>
    <n v="4"/>
    <x v="238"/>
    <s v="770 Main St"/>
    <s v="Credit Card"/>
    <x v="5"/>
    <s v="Google"/>
    <n v="1537.28"/>
  </r>
  <r>
    <s v="ORD200239"/>
    <s v="C20256"/>
    <x v="2"/>
    <n v="3"/>
    <x v="239"/>
    <s v="456 Main St"/>
    <s v="Online"/>
    <x v="5"/>
    <s v="Email"/>
    <n v="1616.22"/>
  </r>
  <r>
    <s v="ORD200240"/>
    <s v="C14983"/>
    <x v="2"/>
    <n v="1"/>
    <x v="240"/>
    <s v="255 Main St"/>
    <s v="Online"/>
    <x v="7"/>
    <s v="Instagram"/>
    <n v="17.239999999999998"/>
  </r>
  <r>
    <s v="ORD200241"/>
    <s v="C20817"/>
    <x v="3"/>
    <n v="5"/>
    <x v="241"/>
    <s v="407 Main St"/>
    <s v="Online"/>
    <x v="5"/>
    <s v="Email"/>
    <n v="3078.35"/>
  </r>
  <r>
    <s v="ORD200242"/>
    <s v="C94921"/>
    <x v="4"/>
    <n v="2"/>
    <x v="242"/>
    <s v="134 Main St"/>
    <s v="Online"/>
    <x v="4"/>
    <s v="Referral"/>
    <n v="438.2"/>
  </r>
  <r>
    <s v="ORD200243"/>
    <s v="C54725"/>
    <x v="3"/>
    <n v="2"/>
    <x v="243"/>
    <s v="506 Main St"/>
    <s v="Online"/>
    <x v="0"/>
    <s v="Google"/>
    <n v="289.32"/>
  </r>
  <r>
    <s v="ORD200244"/>
    <s v="C98096"/>
    <x v="6"/>
    <n v="2"/>
    <x v="244"/>
    <s v="838 Main St"/>
    <s v="Debit Card"/>
    <x v="4"/>
    <s v="Facebook"/>
    <n v="635.54"/>
  </r>
  <r>
    <s v="ORD200245"/>
    <s v="C12667"/>
    <x v="5"/>
    <n v="1"/>
    <x v="245"/>
    <s v="306 Main St"/>
    <s v="Online"/>
    <x v="9"/>
    <s v="Facebook"/>
    <n v="223.3"/>
  </r>
  <r>
    <s v="ORD200246"/>
    <s v="C55354"/>
    <x v="6"/>
    <n v="2"/>
    <x v="246"/>
    <s v="164 Main St"/>
    <s v="Gift Card"/>
    <x v="7"/>
    <s v="Instagram"/>
    <n v="684.22"/>
  </r>
  <r>
    <s v="ORD200247"/>
    <s v="C14600"/>
    <x v="4"/>
    <n v="2"/>
    <x v="247"/>
    <s v="785 Main St"/>
    <s v="Gift Card"/>
    <x v="4"/>
    <s v="Email"/>
    <n v="441.8"/>
  </r>
  <r>
    <s v="ORD200248"/>
    <s v="C97187"/>
    <x v="5"/>
    <n v="1"/>
    <x v="248"/>
    <s v="471 Main St"/>
    <s v="Cash"/>
    <x v="5"/>
    <s v="Referral"/>
    <n v="670.54"/>
  </r>
  <r>
    <s v="ORD200249"/>
    <s v="C39106"/>
    <x v="4"/>
    <n v="1"/>
    <x v="249"/>
    <s v="245 Main St"/>
    <s v="Cash"/>
    <x v="3"/>
    <s v="Referral"/>
    <n v="546.19000000000005"/>
  </r>
  <r>
    <s v="ORD200250"/>
    <s v="C93379"/>
    <x v="6"/>
    <n v="3"/>
    <x v="250"/>
    <s v="318 Main St"/>
    <s v="Gift Card"/>
    <x v="2"/>
    <s v="Email"/>
    <n v="128.85"/>
  </r>
  <r>
    <s v="ORD200251"/>
    <s v="C93175"/>
    <x v="0"/>
    <n v="4"/>
    <x v="251"/>
    <s v="814 Main St"/>
    <s v="Cash"/>
    <x v="6"/>
    <s v="Email"/>
    <n v="58.76"/>
  </r>
  <r>
    <s v="ORD200252"/>
    <s v="C19648"/>
    <x v="1"/>
    <n v="4"/>
    <x v="252"/>
    <s v="821 Main St"/>
    <s v="Gift Card"/>
    <x v="3"/>
    <s v="Facebook"/>
    <n v="2673.44"/>
  </r>
  <r>
    <s v="ORD200253"/>
    <s v="C14891"/>
    <x v="3"/>
    <n v="4"/>
    <x v="253"/>
    <s v="743 Main St"/>
    <s v="Gift Card"/>
    <x v="0"/>
    <s v="Instagram"/>
    <n v="1654.96"/>
  </r>
  <r>
    <s v="ORD200254"/>
    <s v="C10866"/>
    <x v="0"/>
    <n v="3"/>
    <x v="254"/>
    <s v="770 Main St"/>
    <s v="Online"/>
    <x v="3"/>
    <s v="Instagram"/>
    <n v="789.56999999999994"/>
  </r>
  <r>
    <s v="ORD200255"/>
    <s v="C47283"/>
    <x v="0"/>
    <n v="1"/>
    <x v="255"/>
    <s v="806 Main St"/>
    <s v="Gift Card"/>
    <x v="7"/>
    <s v="Google"/>
    <n v="263.95999999999998"/>
  </r>
  <r>
    <s v="ORD200256"/>
    <s v="C94323"/>
    <x v="3"/>
    <n v="5"/>
    <x v="256"/>
    <s v="463 Main St"/>
    <s v="Gift Card"/>
    <x v="8"/>
    <s v="Instagram"/>
    <n v="379.05"/>
  </r>
  <r>
    <s v="ORD200257"/>
    <s v="C89732"/>
    <x v="1"/>
    <n v="1"/>
    <x v="257"/>
    <s v="712 Main St"/>
    <s v="Credit Card"/>
    <x v="3"/>
    <s v="Referral"/>
    <n v="406.22"/>
  </r>
  <r>
    <s v="ORD200258"/>
    <s v="C87764"/>
    <x v="2"/>
    <n v="2"/>
    <x v="258"/>
    <s v="294 Main St"/>
    <s v="Online"/>
    <x v="7"/>
    <s v="Referral"/>
    <n v="206.82"/>
  </r>
  <r>
    <s v="ORD200259"/>
    <s v="C20977"/>
    <x v="3"/>
    <n v="4"/>
    <x v="259"/>
    <s v="636 Main St"/>
    <s v="Credit Card"/>
    <x v="6"/>
    <s v="Instagram"/>
    <n v="1740.48"/>
  </r>
  <r>
    <s v="ORD200260"/>
    <s v="C12245"/>
    <x v="0"/>
    <n v="2"/>
    <x v="260"/>
    <s v="153 Main St"/>
    <s v="Debit Card"/>
    <x v="1"/>
    <s v="Google"/>
    <n v="815.58"/>
  </r>
  <r>
    <s v="ORD200261"/>
    <s v="C68976"/>
    <x v="1"/>
    <n v="5"/>
    <x v="261"/>
    <s v="460 Main St"/>
    <s v="Gift Card"/>
    <x v="6"/>
    <s v="Email"/>
    <n v="868.25"/>
  </r>
  <r>
    <s v="ORD200262"/>
    <s v="C69476"/>
    <x v="1"/>
    <n v="4"/>
    <x v="262"/>
    <s v="642 Main St"/>
    <s v="Credit Card"/>
    <x v="3"/>
    <s v="Referral"/>
    <n v="996.28"/>
  </r>
  <r>
    <s v="ORD200263"/>
    <s v="C71040"/>
    <x v="1"/>
    <n v="4"/>
    <x v="263"/>
    <s v="250 Main St"/>
    <s v="Credit Card"/>
    <x v="4"/>
    <s v="Google"/>
    <n v="1739.4"/>
  </r>
  <r>
    <s v="ORD200264"/>
    <s v="C71035"/>
    <x v="2"/>
    <n v="1"/>
    <x v="264"/>
    <s v="977 Main St"/>
    <s v="Cash"/>
    <x v="3"/>
    <s v="Google"/>
    <n v="436.77"/>
  </r>
  <r>
    <s v="ORD200265"/>
    <s v="C20752"/>
    <x v="4"/>
    <n v="1"/>
    <x v="265"/>
    <s v="150 Main St"/>
    <s v="Debit Card"/>
    <x v="4"/>
    <s v="Google"/>
    <n v="572.13"/>
  </r>
  <r>
    <s v="ORD200266"/>
    <s v="C38840"/>
    <x v="3"/>
    <n v="4"/>
    <x v="266"/>
    <s v="589 Main St"/>
    <s v="Credit Card"/>
    <x v="5"/>
    <s v="Referral"/>
    <n v="2332.2800000000002"/>
  </r>
  <r>
    <s v="ORD200267"/>
    <s v="C84480"/>
    <x v="3"/>
    <n v="5"/>
    <x v="267"/>
    <s v="803 Main St"/>
    <s v="Debit Card"/>
    <x v="6"/>
    <s v="Facebook"/>
    <n v="2342.5500000000002"/>
  </r>
  <r>
    <s v="ORD200268"/>
    <s v="C37032"/>
    <x v="1"/>
    <n v="2"/>
    <x v="268"/>
    <s v="655 Main St"/>
    <s v="Debit Card"/>
    <x v="0"/>
    <s v="Referral"/>
    <n v="847.76"/>
  </r>
  <r>
    <s v="ORD200269"/>
    <s v="C48942"/>
    <x v="2"/>
    <n v="4"/>
    <x v="269"/>
    <s v="129 Main St"/>
    <s v="Credit Card"/>
    <x v="0"/>
    <s v="Google"/>
    <n v="2654.68"/>
  </r>
  <r>
    <s v="ORD200270"/>
    <s v="C13540"/>
    <x v="4"/>
    <n v="4"/>
    <x v="270"/>
    <s v="127 Main St"/>
    <s v="Debit Card"/>
    <x v="3"/>
    <s v="Google"/>
    <n v="1239.6400000000001"/>
  </r>
  <r>
    <s v="ORD200271"/>
    <s v="C59572"/>
    <x v="0"/>
    <n v="1"/>
    <x v="271"/>
    <s v="791 Main St"/>
    <s v="Cash"/>
    <x v="5"/>
    <s v="Referral"/>
    <n v="542.07000000000005"/>
  </r>
  <r>
    <s v="ORD200272"/>
    <s v="C29758"/>
    <x v="3"/>
    <n v="2"/>
    <x v="272"/>
    <s v="119 Main St"/>
    <s v="Online"/>
    <x v="5"/>
    <s v="Instagram"/>
    <n v="798.64"/>
  </r>
  <r>
    <s v="ORD200273"/>
    <s v="C11849"/>
    <x v="2"/>
    <n v="2"/>
    <x v="273"/>
    <s v="974 Main St"/>
    <s v="Online"/>
    <x v="0"/>
    <s v="Email"/>
    <n v="476.5"/>
  </r>
  <r>
    <s v="ORD200274"/>
    <s v="C50967"/>
    <x v="1"/>
    <n v="2"/>
    <x v="274"/>
    <s v="884 Main St"/>
    <s v="Gift Card"/>
    <x v="3"/>
    <s v="Referral"/>
    <n v="364.8"/>
  </r>
  <r>
    <s v="ORD200275"/>
    <s v="C80735"/>
    <x v="3"/>
    <n v="2"/>
    <x v="275"/>
    <s v="360 Main St"/>
    <s v="Credit Card"/>
    <x v="4"/>
    <s v="Google"/>
    <n v="130.13999999999999"/>
  </r>
  <r>
    <s v="ORD200276"/>
    <s v="C99050"/>
    <x v="4"/>
    <n v="2"/>
    <x v="276"/>
    <s v="654 Main St"/>
    <s v="Debit Card"/>
    <x v="1"/>
    <s v="Instagram"/>
    <n v="1201.1400000000001"/>
  </r>
  <r>
    <s v="ORD200277"/>
    <s v="C11210"/>
    <x v="3"/>
    <n v="5"/>
    <x v="277"/>
    <s v="910 Main St"/>
    <s v="Credit Card"/>
    <x v="6"/>
    <s v="Facebook"/>
    <n v="454.6"/>
  </r>
  <r>
    <s v="ORD200278"/>
    <s v="C46015"/>
    <x v="5"/>
    <n v="5"/>
    <x v="278"/>
    <s v="299 Main St"/>
    <s v="Cash"/>
    <x v="5"/>
    <s v="Instagram"/>
    <n v="1812.3"/>
  </r>
  <r>
    <s v="ORD200279"/>
    <s v="C69167"/>
    <x v="3"/>
    <n v="3"/>
    <x v="279"/>
    <s v="263 Main St"/>
    <s v="Online"/>
    <x v="0"/>
    <s v="Email"/>
    <n v="165.03"/>
  </r>
  <r>
    <s v="ORD200280"/>
    <s v="C55388"/>
    <x v="2"/>
    <n v="3"/>
    <x v="280"/>
    <s v="740 Main St"/>
    <s v="Gift Card"/>
    <x v="5"/>
    <s v="Instagram"/>
    <n v="1213.8599999999999"/>
  </r>
  <r>
    <s v="ORD200281"/>
    <s v="C87181"/>
    <x v="6"/>
    <n v="4"/>
    <x v="281"/>
    <s v="195 Main St"/>
    <s v="Cash"/>
    <x v="6"/>
    <s v="Referral"/>
    <n v="2619.16"/>
  </r>
  <r>
    <s v="ORD200282"/>
    <s v="C30411"/>
    <x v="4"/>
    <n v="4"/>
    <x v="282"/>
    <s v="375 Main St"/>
    <s v="Gift Card"/>
    <x v="6"/>
    <s v="Google"/>
    <n v="2551.16"/>
  </r>
  <r>
    <s v="ORD200283"/>
    <s v="C39638"/>
    <x v="5"/>
    <n v="4"/>
    <x v="283"/>
    <s v="990 Main St"/>
    <s v="Cash"/>
    <x v="5"/>
    <s v="Google"/>
    <n v="2161.3200000000002"/>
  </r>
  <r>
    <s v="ORD200284"/>
    <s v="C27203"/>
    <x v="5"/>
    <n v="5"/>
    <x v="284"/>
    <s v="516 Main St"/>
    <s v="Credit Card"/>
    <x v="5"/>
    <s v="Facebook"/>
    <n v="1040.8499999999999"/>
  </r>
  <r>
    <s v="ORD200285"/>
    <s v="C67583"/>
    <x v="1"/>
    <n v="1"/>
    <x v="285"/>
    <s v="974 Main St"/>
    <s v="Online"/>
    <x v="1"/>
    <s v="Google"/>
    <n v="338.31"/>
  </r>
  <r>
    <s v="ORD200286"/>
    <s v="C70554"/>
    <x v="0"/>
    <n v="3"/>
    <x v="286"/>
    <s v="187 Main St"/>
    <s v="Gift Card"/>
    <x v="2"/>
    <s v="Google"/>
    <n v="418.35"/>
  </r>
  <r>
    <s v="ORD200287"/>
    <s v="C70437"/>
    <x v="3"/>
    <n v="4"/>
    <x v="287"/>
    <s v="630 Main St"/>
    <s v="Online"/>
    <x v="3"/>
    <s v="Facebook"/>
    <n v="2620.7199999999998"/>
  </r>
  <r>
    <s v="ORD200288"/>
    <s v="C97643"/>
    <x v="5"/>
    <n v="4"/>
    <x v="288"/>
    <s v="537 Main St"/>
    <s v="Debit Card"/>
    <x v="2"/>
    <s v="Google"/>
    <n v="2051"/>
  </r>
  <r>
    <s v="ORD200289"/>
    <s v="C17136"/>
    <x v="3"/>
    <n v="4"/>
    <x v="289"/>
    <s v="333 Main St"/>
    <s v="Credit Card"/>
    <x v="2"/>
    <s v="Referral"/>
    <n v="641.96"/>
  </r>
  <r>
    <s v="ORD200290"/>
    <s v="C24901"/>
    <x v="3"/>
    <n v="3"/>
    <x v="290"/>
    <s v="258 Main St"/>
    <s v="Cash"/>
    <x v="2"/>
    <s v="Facebook"/>
    <n v="299.7"/>
  </r>
  <r>
    <s v="ORD200291"/>
    <s v="C61521"/>
    <x v="1"/>
    <n v="2"/>
    <x v="291"/>
    <s v="670 Main St"/>
    <s v="Credit Card"/>
    <x v="5"/>
    <s v="Google"/>
    <n v="690.02"/>
  </r>
  <r>
    <s v="ORD200292"/>
    <s v="C39639"/>
    <x v="0"/>
    <n v="1"/>
    <x v="292"/>
    <s v="185 Main St"/>
    <s v="Credit Card"/>
    <x v="3"/>
    <s v="Facebook"/>
    <n v="65.95"/>
  </r>
  <r>
    <s v="ORD200293"/>
    <s v="C33220"/>
    <x v="2"/>
    <n v="4"/>
    <x v="293"/>
    <s v="564 Main St"/>
    <s v="Gift Card"/>
    <x v="6"/>
    <s v="Instagram"/>
    <n v="1852.16"/>
  </r>
  <r>
    <s v="ORD200294"/>
    <s v="C65414"/>
    <x v="1"/>
    <n v="2"/>
    <x v="294"/>
    <s v="208 Main St"/>
    <s v="Online"/>
    <x v="0"/>
    <s v="Referral"/>
    <n v="595.41999999999996"/>
  </r>
  <r>
    <s v="ORD200295"/>
    <s v="C49009"/>
    <x v="4"/>
    <n v="5"/>
    <x v="295"/>
    <s v="278 Main St"/>
    <s v="Debit Card"/>
    <x v="6"/>
    <s v="Email"/>
    <n v="537.4"/>
  </r>
  <r>
    <s v="ORD200296"/>
    <s v="C48453"/>
    <x v="6"/>
    <n v="5"/>
    <x v="296"/>
    <s v="434 Main St"/>
    <s v="Debit Card"/>
    <x v="8"/>
    <s v="Referral"/>
    <n v="3194"/>
  </r>
  <r>
    <s v="ORD200297"/>
    <s v="C68078"/>
    <x v="6"/>
    <n v="2"/>
    <x v="297"/>
    <s v="252 Main St"/>
    <s v="Credit Card"/>
    <x v="0"/>
    <s v="Instagram"/>
    <n v="987.76"/>
  </r>
  <r>
    <s v="ORD200298"/>
    <s v="C19402"/>
    <x v="4"/>
    <n v="4"/>
    <x v="298"/>
    <s v="267 Main St"/>
    <s v="Online"/>
    <x v="5"/>
    <s v="Email"/>
    <n v="1204.68"/>
  </r>
  <r>
    <s v="ORD200299"/>
    <s v="C30711"/>
    <x v="0"/>
    <n v="1"/>
    <x v="299"/>
    <s v="856 Main St"/>
    <s v="Gift Card"/>
    <x v="7"/>
    <s v="Instagram"/>
    <n v="278.66000000000003"/>
  </r>
  <r>
    <s v="ORD200300"/>
    <s v="C39000"/>
    <x v="1"/>
    <n v="1"/>
    <x v="300"/>
    <s v="894 Main St"/>
    <s v="Debit Card"/>
    <x v="1"/>
    <s v="Facebook"/>
    <n v="287.45999999999998"/>
  </r>
  <r>
    <s v="ORD200301"/>
    <s v="C31105"/>
    <x v="3"/>
    <n v="1"/>
    <x v="301"/>
    <s v="726 Main St"/>
    <s v="Cash"/>
    <x v="7"/>
    <s v="Email"/>
    <n v="583.99"/>
  </r>
  <r>
    <s v="ORD200302"/>
    <s v="C29432"/>
    <x v="3"/>
    <n v="3"/>
    <x v="302"/>
    <s v="121 Main St"/>
    <s v="Cash"/>
    <x v="4"/>
    <s v="Instagram"/>
    <n v="1406.22"/>
  </r>
  <r>
    <s v="ORD200303"/>
    <s v="C48531"/>
    <x v="2"/>
    <n v="1"/>
    <x v="303"/>
    <s v="368 Main St"/>
    <s v="Debit Card"/>
    <x v="9"/>
    <s v="Google"/>
    <n v="30.54"/>
  </r>
  <r>
    <s v="ORD200304"/>
    <s v="C86762"/>
    <x v="0"/>
    <n v="5"/>
    <x v="304"/>
    <s v="326 Main St"/>
    <s v="Gift Card"/>
    <x v="8"/>
    <s v="Instagram"/>
    <n v="2043.65"/>
  </r>
  <r>
    <s v="ORD200305"/>
    <s v="C63822"/>
    <x v="5"/>
    <n v="4"/>
    <x v="305"/>
    <s v="235 Main St"/>
    <s v="Cash"/>
    <x v="6"/>
    <s v="Instagram"/>
    <n v="507.56"/>
  </r>
  <r>
    <s v="ORD200306"/>
    <s v="C70495"/>
    <x v="4"/>
    <n v="2"/>
    <x v="306"/>
    <s v="238 Main St"/>
    <s v="Debit Card"/>
    <x v="1"/>
    <s v="Instagram"/>
    <n v="114.14"/>
  </r>
  <r>
    <s v="ORD200307"/>
    <s v="C92407"/>
    <x v="5"/>
    <n v="3"/>
    <x v="307"/>
    <s v="135 Main St"/>
    <s v="Online"/>
    <x v="4"/>
    <s v="Email"/>
    <n v="1672.23"/>
  </r>
  <r>
    <s v="ORD200308"/>
    <s v="C75888"/>
    <x v="4"/>
    <n v="3"/>
    <x v="308"/>
    <s v="790 Main St"/>
    <s v="Debit Card"/>
    <x v="0"/>
    <s v="Instagram"/>
    <n v="1346.7"/>
  </r>
  <r>
    <s v="ORD200309"/>
    <s v="C63153"/>
    <x v="3"/>
    <n v="4"/>
    <x v="309"/>
    <s v="625 Main St"/>
    <s v="Debit Card"/>
    <x v="4"/>
    <s v="Facebook"/>
    <n v="2199.04"/>
  </r>
  <r>
    <s v="ORD200310"/>
    <s v="C85863"/>
    <x v="4"/>
    <n v="3"/>
    <x v="310"/>
    <s v="968 Main St"/>
    <s v="Online"/>
    <x v="4"/>
    <s v="Referral"/>
    <n v="397.43999999999988"/>
  </r>
  <r>
    <s v="ORD200311"/>
    <s v="C71698"/>
    <x v="6"/>
    <n v="5"/>
    <x v="311"/>
    <s v="274 Main St"/>
    <s v="Online"/>
    <x v="2"/>
    <s v="Instagram"/>
    <n v="2446.85"/>
  </r>
  <r>
    <s v="ORD200312"/>
    <s v="C35397"/>
    <x v="4"/>
    <n v="5"/>
    <x v="312"/>
    <s v="579 Main St"/>
    <s v="Gift Card"/>
    <x v="0"/>
    <s v="Referral"/>
    <n v="331.55"/>
  </r>
  <r>
    <s v="ORD200313"/>
    <s v="C67687"/>
    <x v="3"/>
    <n v="2"/>
    <x v="313"/>
    <s v="978 Main St"/>
    <s v="Cash"/>
    <x v="0"/>
    <s v="Instagram"/>
    <n v="868.6"/>
  </r>
  <r>
    <s v="ORD200314"/>
    <s v="C29931"/>
    <x v="6"/>
    <n v="4"/>
    <x v="314"/>
    <s v="540 Main St"/>
    <s v="Online"/>
    <x v="4"/>
    <s v="Referral"/>
    <n v="612.36"/>
  </r>
  <r>
    <s v="ORD200315"/>
    <s v="C59139"/>
    <x v="2"/>
    <n v="5"/>
    <x v="315"/>
    <s v="301 Main St"/>
    <s v="Online"/>
    <x v="6"/>
    <s v="Email"/>
    <n v="458.35"/>
  </r>
  <r>
    <s v="ORD200316"/>
    <s v="C66078"/>
    <x v="6"/>
    <n v="4"/>
    <x v="316"/>
    <s v="101 Main St"/>
    <s v="Gift Card"/>
    <x v="6"/>
    <s v="Facebook"/>
    <n v="1101.1199999999999"/>
  </r>
  <r>
    <s v="ORD200317"/>
    <s v="C88370"/>
    <x v="0"/>
    <n v="2"/>
    <x v="317"/>
    <s v="339 Main St"/>
    <s v="Online"/>
    <x v="3"/>
    <s v="Instagram"/>
    <n v="279.89999999999998"/>
  </r>
  <r>
    <s v="ORD200318"/>
    <s v="C93375"/>
    <x v="3"/>
    <n v="3"/>
    <x v="318"/>
    <s v="317 Main St"/>
    <s v="Debit Card"/>
    <x v="0"/>
    <s v="Google"/>
    <n v="446.16"/>
  </r>
  <r>
    <s v="ORD200319"/>
    <s v="C53049"/>
    <x v="5"/>
    <n v="2"/>
    <x v="319"/>
    <s v="413 Main St"/>
    <s v="Cash"/>
    <x v="5"/>
    <s v="Instagram"/>
    <n v="1126.1199999999999"/>
  </r>
  <r>
    <s v="ORD200320"/>
    <s v="C55590"/>
    <x v="4"/>
    <n v="1"/>
    <x v="320"/>
    <s v="772 Main St"/>
    <s v="Credit Card"/>
    <x v="9"/>
    <s v="Facebook"/>
    <n v="625.51"/>
  </r>
  <r>
    <s v="ORD200321"/>
    <s v="C47086"/>
    <x v="1"/>
    <n v="4"/>
    <x v="321"/>
    <s v="135 Main St"/>
    <s v="Debit Card"/>
    <x v="5"/>
    <s v="Google"/>
    <n v="609.16"/>
  </r>
  <r>
    <s v="ORD200322"/>
    <s v="C48646"/>
    <x v="1"/>
    <n v="5"/>
    <x v="322"/>
    <s v="339 Main St"/>
    <s v="Debit Card"/>
    <x v="5"/>
    <s v="Facebook"/>
    <n v="1159.0999999999999"/>
  </r>
  <r>
    <s v="ORD200323"/>
    <s v="C29416"/>
    <x v="5"/>
    <n v="1"/>
    <x v="323"/>
    <s v="414 Main St"/>
    <s v="Debit Card"/>
    <x v="9"/>
    <s v="Referral"/>
    <n v="150.16999999999999"/>
  </r>
  <r>
    <s v="ORD200324"/>
    <s v="C13525"/>
    <x v="2"/>
    <n v="3"/>
    <x v="324"/>
    <s v="847 Main St"/>
    <s v="Debit Card"/>
    <x v="3"/>
    <s v="Referral"/>
    <n v="212.79"/>
  </r>
  <r>
    <s v="ORD200325"/>
    <s v="C53545"/>
    <x v="6"/>
    <n v="3"/>
    <x v="325"/>
    <s v="665 Main St"/>
    <s v="Credit Card"/>
    <x v="2"/>
    <s v="Referral"/>
    <n v="1084.17"/>
  </r>
  <r>
    <s v="ORD200326"/>
    <s v="C65986"/>
    <x v="5"/>
    <n v="5"/>
    <x v="326"/>
    <s v="273 Main St"/>
    <s v="Gift Card"/>
    <x v="3"/>
    <s v="Facebook"/>
    <n v="3352.4"/>
  </r>
  <r>
    <s v="ORD200327"/>
    <s v="C17302"/>
    <x v="1"/>
    <n v="1"/>
    <x v="327"/>
    <s v="385 Main St"/>
    <s v="Gift Card"/>
    <x v="3"/>
    <s v="Email"/>
    <n v="359.99"/>
  </r>
  <r>
    <s v="ORD200328"/>
    <s v="C18404"/>
    <x v="2"/>
    <n v="5"/>
    <x v="328"/>
    <s v="546 Main St"/>
    <s v="Online"/>
    <x v="0"/>
    <s v="Google"/>
    <n v="3370.2"/>
  </r>
  <r>
    <s v="ORD200329"/>
    <s v="C88371"/>
    <x v="3"/>
    <n v="4"/>
    <x v="329"/>
    <s v="306 Main St"/>
    <s v="Credit Card"/>
    <x v="5"/>
    <s v="Google"/>
    <n v="1132.6400000000001"/>
  </r>
  <r>
    <s v="ORD200330"/>
    <s v="C38068"/>
    <x v="6"/>
    <n v="5"/>
    <x v="330"/>
    <s v="532 Main St"/>
    <s v="Gift Card"/>
    <x v="3"/>
    <s v="Instagram"/>
    <n v="1302.6500000000001"/>
  </r>
  <r>
    <s v="ORD200331"/>
    <s v="C78724"/>
    <x v="4"/>
    <n v="3"/>
    <x v="331"/>
    <s v="187 Main St"/>
    <s v="Online"/>
    <x v="0"/>
    <s v="Facebook"/>
    <n v="1266.3900000000001"/>
  </r>
  <r>
    <s v="ORD200332"/>
    <s v="C26163"/>
    <x v="6"/>
    <n v="5"/>
    <x v="332"/>
    <s v="607 Main St"/>
    <s v="Debit Card"/>
    <x v="6"/>
    <s v="Google"/>
    <n v="625.1"/>
  </r>
  <r>
    <s v="ORD200333"/>
    <s v="C87124"/>
    <x v="1"/>
    <n v="1"/>
    <x v="333"/>
    <s v="818 Main St"/>
    <s v="Credit Card"/>
    <x v="3"/>
    <s v="Instagram"/>
    <n v="198.51"/>
  </r>
  <r>
    <s v="ORD200334"/>
    <s v="C90348"/>
    <x v="3"/>
    <n v="4"/>
    <x v="334"/>
    <s v="728 Main St"/>
    <s v="Online"/>
    <x v="0"/>
    <s v="Facebook"/>
    <n v="899"/>
  </r>
  <r>
    <s v="ORD200335"/>
    <s v="C58721"/>
    <x v="2"/>
    <n v="3"/>
    <x v="335"/>
    <s v="978 Main St"/>
    <s v="Gift Card"/>
    <x v="4"/>
    <s v="Email"/>
    <n v="617.58000000000004"/>
  </r>
  <r>
    <s v="ORD200336"/>
    <s v="C88174"/>
    <x v="5"/>
    <n v="1"/>
    <x v="336"/>
    <s v="441 Main St"/>
    <s v="Debit Card"/>
    <x v="4"/>
    <s v="Instagram"/>
    <n v="18.2"/>
  </r>
  <r>
    <s v="ORD200337"/>
    <s v="C77763"/>
    <x v="2"/>
    <n v="3"/>
    <x v="337"/>
    <s v="599 Main St"/>
    <s v="Debit Card"/>
    <x v="2"/>
    <s v="Email"/>
    <n v="1508.31"/>
  </r>
  <r>
    <s v="ORD200338"/>
    <s v="C53627"/>
    <x v="1"/>
    <n v="5"/>
    <x v="338"/>
    <s v="704 Main St"/>
    <s v="Debit Card"/>
    <x v="8"/>
    <s v="Referral"/>
    <n v="1527.45"/>
  </r>
  <r>
    <s v="ORD200339"/>
    <s v="C84563"/>
    <x v="4"/>
    <n v="2"/>
    <x v="339"/>
    <s v="398 Main St"/>
    <s v="Online"/>
    <x v="1"/>
    <s v="Instagram"/>
    <n v="472.66"/>
  </r>
  <r>
    <s v="ORD200340"/>
    <s v="C76207"/>
    <x v="5"/>
    <n v="5"/>
    <x v="340"/>
    <s v="826 Main St"/>
    <s v="Cash"/>
    <x v="2"/>
    <s v="Email"/>
    <n v="2606.25"/>
  </r>
  <r>
    <s v="ORD200341"/>
    <s v="C94671"/>
    <x v="2"/>
    <n v="1"/>
    <x v="341"/>
    <s v="293 Main St"/>
    <s v="Gift Card"/>
    <x v="3"/>
    <s v="Email"/>
    <n v="167.15"/>
  </r>
  <r>
    <s v="ORD200342"/>
    <s v="C69994"/>
    <x v="0"/>
    <n v="5"/>
    <x v="342"/>
    <s v="619 Main St"/>
    <s v="Gift Card"/>
    <x v="3"/>
    <s v="Referral"/>
    <n v="2332.1"/>
  </r>
  <r>
    <s v="ORD200343"/>
    <s v="C64638"/>
    <x v="4"/>
    <n v="1"/>
    <x v="343"/>
    <s v="919 Main St"/>
    <s v="Debit Card"/>
    <x v="1"/>
    <s v="Facebook"/>
    <n v="527.57000000000005"/>
  </r>
  <r>
    <s v="ORD200344"/>
    <s v="C95623"/>
    <x v="2"/>
    <n v="3"/>
    <x v="344"/>
    <s v="248 Main St"/>
    <s v="Online"/>
    <x v="1"/>
    <s v="Instagram"/>
    <n v="1870.02"/>
  </r>
  <r>
    <s v="ORD200345"/>
    <s v="C24751"/>
    <x v="2"/>
    <n v="5"/>
    <x v="345"/>
    <s v="259 Main St"/>
    <s v="Gift Card"/>
    <x v="8"/>
    <s v="Referral"/>
    <n v="2506.3000000000002"/>
  </r>
  <r>
    <s v="ORD200346"/>
    <s v="C31764"/>
    <x v="2"/>
    <n v="1"/>
    <x v="346"/>
    <s v="876 Main St"/>
    <s v="Cash"/>
    <x v="5"/>
    <s v="Referral"/>
    <n v="655.09"/>
  </r>
  <r>
    <s v="ORD200347"/>
    <s v="C83556"/>
    <x v="4"/>
    <n v="4"/>
    <x v="347"/>
    <s v="380 Main St"/>
    <s v="Credit Card"/>
    <x v="3"/>
    <s v="Google"/>
    <n v="1059.1600000000001"/>
  </r>
  <r>
    <s v="ORD200348"/>
    <s v="C24369"/>
    <x v="5"/>
    <n v="3"/>
    <x v="348"/>
    <s v="885 Main St"/>
    <s v="Debit Card"/>
    <x v="0"/>
    <s v="Email"/>
    <n v="1079.19"/>
  </r>
  <r>
    <s v="ORD200349"/>
    <s v="C39648"/>
    <x v="3"/>
    <n v="1"/>
    <x v="349"/>
    <s v="824 Main St"/>
    <s v="Gift Card"/>
    <x v="7"/>
    <s v="Google"/>
    <n v="465.33"/>
  </r>
  <r>
    <s v="ORD200350"/>
    <s v="C13296"/>
    <x v="3"/>
    <n v="2"/>
    <x v="350"/>
    <s v="495 Main St"/>
    <s v="Online"/>
    <x v="5"/>
    <s v="Instagram"/>
    <n v="108.82"/>
  </r>
  <r>
    <s v="ORD200351"/>
    <s v="C94248"/>
    <x v="5"/>
    <n v="1"/>
    <x v="351"/>
    <s v="494 Main St"/>
    <s v="Debit Card"/>
    <x v="4"/>
    <s v="Instagram"/>
    <n v="64.66"/>
  </r>
  <r>
    <s v="ORD200352"/>
    <s v="C26637"/>
    <x v="3"/>
    <n v="5"/>
    <x v="352"/>
    <s v="995 Main St"/>
    <s v="Debit Card"/>
    <x v="2"/>
    <s v="Instagram"/>
    <n v="869.80000000000007"/>
  </r>
  <r>
    <s v="ORD200353"/>
    <s v="C16012"/>
    <x v="2"/>
    <n v="1"/>
    <x v="353"/>
    <s v="171 Main St"/>
    <s v="Online"/>
    <x v="3"/>
    <s v="Google"/>
    <n v="630.82000000000005"/>
  </r>
  <r>
    <s v="ORD200354"/>
    <s v="C31772"/>
    <x v="1"/>
    <n v="1"/>
    <x v="354"/>
    <s v="992 Main St"/>
    <s v="Debit Card"/>
    <x v="4"/>
    <s v="Instagram"/>
    <n v="693.41"/>
  </r>
  <r>
    <s v="ORD200355"/>
    <s v="C18353"/>
    <x v="2"/>
    <n v="3"/>
    <x v="355"/>
    <s v="677 Main St"/>
    <s v="Credit Card"/>
    <x v="4"/>
    <s v="Referral"/>
    <n v="1299.99"/>
  </r>
  <r>
    <s v="ORD200356"/>
    <s v="C26966"/>
    <x v="4"/>
    <n v="5"/>
    <x v="356"/>
    <s v="907 Main St"/>
    <s v="Gift Card"/>
    <x v="8"/>
    <s v="Instagram"/>
    <n v="1872.9"/>
  </r>
  <r>
    <s v="ORD200357"/>
    <s v="C74982"/>
    <x v="5"/>
    <n v="5"/>
    <x v="357"/>
    <s v="398 Main St"/>
    <s v="Debit Card"/>
    <x v="2"/>
    <s v="Instagram"/>
    <n v="2042.8"/>
  </r>
  <r>
    <s v="ORD200358"/>
    <s v="C70633"/>
    <x v="2"/>
    <n v="2"/>
    <x v="358"/>
    <s v="747 Main St"/>
    <s v="Online"/>
    <x v="1"/>
    <s v="Google"/>
    <n v="367.34"/>
  </r>
  <r>
    <s v="ORD200359"/>
    <s v="C95643"/>
    <x v="6"/>
    <n v="4"/>
    <x v="359"/>
    <s v="303 Main St"/>
    <s v="Debit Card"/>
    <x v="3"/>
    <s v="Referral"/>
    <n v="2426.2800000000002"/>
  </r>
  <r>
    <s v="ORD200360"/>
    <s v="C53810"/>
    <x v="1"/>
    <n v="4"/>
    <x v="360"/>
    <s v="779 Main St"/>
    <s v="Cash"/>
    <x v="2"/>
    <s v="Instagram"/>
    <n v="2358.2800000000002"/>
  </r>
  <r>
    <s v="ORD200361"/>
    <s v="C53464"/>
    <x v="4"/>
    <n v="5"/>
    <x v="361"/>
    <s v="197 Main St"/>
    <s v="Credit Card"/>
    <x v="6"/>
    <s v="Facebook"/>
    <n v="3299.25"/>
  </r>
  <r>
    <s v="ORD200362"/>
    <s v="C53697"/>
    <x v="0"/>
    <n v="4"/>
    <x v="362"/>
    <s v="312 Main St"/>
    <s v="Cash"/>
    <x v="3"/>
    <s v="Instagram"/>
    <n v="827.36"/>
  </r>
  <r>
    <s v="ORD200363"/>
    <s v="C31668"/>
    <x v="5"/>
    <n v="5"/>
    <x v="363"/>
    <s v="871 Main St"/>
    <s v="Credit Card"/>
    <x v="5"/>
    <s v="Email"/>
    <n v="569.35"/>
  </r>
  <r>
    <s v="ORD200364"/>
    <s v="C85282"/>
    <x v="1"/>
    <n v="5"/>
    <x v="364"/>
    <s v="740 Main St"/>
    <s v="Cash"/>
    <x v="6"/>
    <s v="Facebook"/>
    <n v="3143.7"/>
  </r>
  <r>
    <s v="ORD200365"/>
    <s v="C56796"/>
    <x v="1"/>
    <n v="1"/>
    <x v="365"/>
    <s v="607 Main St"/>
    <s v="Credit Card"/>
    <x v="4"/>
    <s v="Referral"/>
    <n v="678.38"/>
  </r>
  <r>
    <s v="ORD200366"/>
    <s v="C95213"/>
    <x v="4"/>
    <n v="3"/>
    <x v="366"/>
    <s v="603 Main St"/>
    <s v="Debit Card"/>
    <x v="2"/>
    <s v="Referral"/>
    <n v="1806.72"/>
  </r>
  <r>
    <s v="ORD200367"/>
    <s v="C13108"/>
    <x v="5"/>
    <n v="5"/>
    <x v="367"/>
    <s v="712 Main St"/>
    <s v="Gift Card"/>
    <x v="8"/>
    <s v="Instagram"/>
    <n v="3293.85"/>
  </r>
  <r>
    <s v="ORD200368"/>
    <s v="C85322"/>
    <x v="0"/>
    <n v="3"/>
    <x v="368"/>
    <s v="403 Main St"/>
    <s v="Credit Card"/>
    <x v="5"/>
    <s v="Google"/>
    <n v="813.06"/>
  </r>
  <r>
    <s v="ORD200369"/>
    <s v="C43545"/>
    <x v="0"/>
    <n v="5"/>
    <x v="369"/>
    <s v="216 Main St"/>
    <s v="Gift Card"/>
    <x v="6"/>
    <s v="Email"/>
    <n v="1876.25"/>
  </r>
  <r>
    <s v="ORD200370"/>
    <s v="C80649"/>
    <x v="1"/>
    <n v="1"/>
    <x v="370"/>
    <s v="870 Main St"/>
    <s v="Online"/>
    <x v="4"/>
    <s v="Facebook"/>
    <n v="312.11"/>
  </r>
  <r>
    <s v="ORD200371"/>
    <s v="C59752"/>
    <x v="1"/>
    <n v="5"/>
    <x v="371"/>
    <s v="179 Main St"/>
    <s v="Gift Card"/>
    <x v="6"/>
    <s v="Google"/>
    <n v="1538.8"/>
  </r>
  <r>
    <s v="ORD200372"/>
    <s v="C53645"/>
    <x v="3"/>
    <n v="3"/>
    <x v="372"/>
    <s v="166 Main St"/>
    <s v="Cash"/>
    <x v="4"/>
    <s v="Referral"/>
    <n v="1450.59"/>
  </r>
  <r>
    <s v="ORD200373"/>
    <s v="C60178"/>
    <x v="5"/>
    <n v="3"/>
    <x v="373"/>
    <s v="969 Main St"/>
    <s v="Cash"/>
    <x v="4"/>
    <s v="Instagram"/>
    <n v="1023.45"/>
  </r>
  <r>
    <s v="ORD200374"/>
    <s v="C20286"/>
    <x v="0"/>
    <n v="1"/>
    <x v="374"/>
    <s v="129 Main St"/>
    <s v="Gift Card"/>
    <x v="9"/>
    <s v="Instagram"/>
    <n v="571.9"/>
  </r>
  <r>
    <s v="ORD200375"/>
    <s v="C87547"/>
    <x v="0"/>
    <n v="4"/>
    <x v="375"/>
    <s v="400 Main St"/>
    <s v="Online"/>
    <x v="2"/>
    <s v="Facebook"/>
    <n v="380.12"/>
  </r>
  <r>
    <s v="ORD200376"/>
    <s v="C64549"/>
    <x v="0"/>
    <n v="5"/>
    <x v="376"/>
    <s v="341 Main St"/>
    <s v="Debit Card"/>
    <x v="5"/>
    <s v="Facebook"/>
    <n v="1006.1"/>
  </r>
  <r>
    <s v="ORD200377"/>
    <s v="C24884"/>
    <x v="0"/>
    <n v="1"/>
    <x v="377"/>
    <s v="625 Main St"/>
    <s v="Online"/>
    <x v="3"/>
    <s v="Instagram"/>
    <n v="260.26"/>
  </r>
  <r>
    <s v="ORD200378"/>
    <s v="C62666"/>
    <x v="3"/>
    <n v="5"/>
    <x v="378"/>
    <s v="148 Main St"/>
    <s v="Credit Card"/>
    <x v="2"/>
    <s v="Instagram"/>
    <n v="322.5"/>
  </r>
  <r>
    <s v="ORD200379"/>
    <s v="C47284"/>
    <x v="1"/>
    <n v="3"/>
    <x v="379"/>
    <s v="500 Main St"/>
    <s v="Online"/>
    <x v="5"/>
    <s v="Google"/>
    <n v="893.01"/>
  </r>
  <r>
    <s v="ORD200380"/>
    <s v="C35355"/>
    <x v="4"/>
    <n v="4"/>
    <x v="380"/>
    <s v="127 Main St"/>
    <s v="Cash"/>
    <x v="3"/>
    <s v="Instagram"/>
    <n v="1327.6"/>
  </r>
  <r>
    <s v="ORD200381"/>
    <s v="C29467"/>
    <x v="3"/>
    <n v="1"/>
    <x v="381"/>
    <s v="223 Main St"/>
    <s v="Credit Card"/>
    <x v="9"/>
    <s v="Instagram"/>
    <n v="191.76"/>
  </r>
  <r>
    <s v="ORD200382"/>
    <s v="C26718"/>
    <x v="4"/>
    <n v="4"/>
    <x v="382"/>
    <s v="272 Main St"/>
    <s v="Debit Card"/>
    <x v="2"/>
    <s v="Google"/>
    <n v="1052.3599999999999"/>
  </r>
  <r>
    <s v="ORD200383"/>
    <s v="C18944"/>
    <x v="3"/>
    <n v="4"/>
    <x v="383"/>
    <s v="837 Main St"/>
    <s v="Credit Card"/>
    <x v="0"/>
    <s v="Email"/>
    <n v="1575.2"/>
  </r>
  <r>
    <s v="ORD200384"/>
    <s v="C35628"/>
    <x v="3"/>
    <n v="3"/>
    <x v="384"/>
    <s v="147 Main St"/>
    <s v="Credit Card"/>
    <x v="4"/>
    <s v="Facebook"/>
    <n v="1660.71"/>
  </r>
  <r>
    <s v="ORD200385"/>
    <s v="C56851"/>
    <x v="3"/>
    <n v="5"/>
    <x v="385"/>
    <s v="752 Main St"/>
    <s v="Gift Card"/>
    <x v="5"/>
    <s v="Facebook"/>
    <n v="958.15"/>
  </r>
  <r>
    <s v="ORD200386"/>
    <s v="C12421"/>
    <x v="2"/>
    <n v="1"/>
    <x v="386"/>
    <s v="373 Main St"/>
    <s v="Online"/>
    <x v="4"/>
    <s v="Email"/>
    <n v="93.02"/>
  </r>
  <r>
    <s v="ORD200387"/>
    <s v="C25316"/>
    <x v="4"/>
    <n v="2"/>
    <x v="387"/>
    <s v="904 Main St"/>
    <s v="Credit Card"/>
    <x v="1"/>
    <s v="Google"/>
    <n v="79.06"/>
  </r>
  <r>
    <s v="ORD200388"/>
    <s v="C22657"/>
    <x v="4"/>
    <n v="3"/>
    <x v="388"/>
    <s v="152 Main St"/>
    <s v="Cash"/>
    <x v="0"/>
    <s v="Facebook"/>
    <n v="1901.91"/>
  </r>
  <r>
    <s v="ORD200389"/>
    <s v="C29703"/>
    <x v="6"/>
    <n v="4"/>
    <x v="389"/>
    <s v="558 Main St"/>
    <s v="Cash"/>
    <x v="0"/>
    <s v="Referral"/>
    <n v="2790"/>
  </r>
  <r>
    <s v="ORD200390"/>
    <s v="C55996"/>
    <x v="4"/>
    <n v="5"/>
    <x v="390"/>
    <s v="885 Main St"/>
    <s v="Cash"/>
    <x v="8"/>
    <s v="Google"/>
    <n v="2543.4499999999998"/>
  </r>
  <r>
    <s v="ORD200391"/>
    <s v="C60037"/>
    <x v="5"/>
    <n v="2"/>
    <x v="391"/>
    <s v="516 Main St"/>
    <s v="Debit Card"/>
    <x v="1"/>
    <s v="Referral"/>
    <n v="1054.92"/>
  </r>
  <r>
    <s v="ORD200392"/>
    <s v="C95100"/>
    <x v="1"/>
    <n v="1"/>
    <x v="392"/>
    <s v="197 Main St"/>
    <s v="Online"/>
    <x v="9"/>
    <s v="Email"/>
    <n v="627.20000000000005"/>
  </r>
  <r>
    <s v="ORD200393"/>
    <s v="C39906"/>
    <x v="4"/>
    <n v="1"/>
    <x v="393"/>
    <s v="921 Main St"/>
    <s v="Credit Card"/>
    <x v="1"/>
    <s v="Google"/>
    <n v="75.010000000000005"/>
  </r>
  <r>
    <s v="ORD200394"/>
    <s v="C70148"/>
    <x v="6"/>
    <n v="5"/>
    <x v="394"/>
    <s v="359 Main St"/>
    <s v="Gift Card"/>
    <x v="8"/>
    <s v="Facebook"/>
    <n v="2647.75"/>
  </r>
  <r>
    <s v="ORD200395"/>
    <s v="C30010"/>
    <x v="1"/>
    <n v="3"/>
    <x v="395"/>
    <s v="830 Main St"/>
    <s v="Gift Card"/>
    <x v="0"/>
    <s v="Referral"/>
    <n v="382.23"/>
  </r>
  <r>
    <s v="ORD200396"/>
    <s v="C99217"/>
    <x v="2"/>
    <n v="5"/>
    <x v="396"/>
    <s v="778 Main St"/>
    <s v="Online"/>
    <x v="8"/>
    <s v="Email"/>
    <n v="1435.65"/>
  </r>
  <r>
    <s v="ORD200397"/>
    <s v="C30184"/>
    <x v="0"/>
    <n v="1"/>
    <x v="397"/>
    <s v="987 Main St"/>
    <s v="Online"/>
    <x v="9"/>
    <s v="Referral"/>
    <n v="427.06"/>
  </r>
  <r>
    <s v="ORD200398"/>
    <s v="C50275"/>
    <x v="1"/>
    <n v="5"/>
    <x v="398"/>
    <s v="729 Main St"/>
    <s v="Gift Card"/>
    <x v="0"/>
    <s v="Instagram"/>
    <n v="269.64999999999998"/>
  </r>
  <r>
    <s v="ORD200399"/>
    <s v="C64641"/>
    <x v="2"/>
    <n v="5"/>
    <x v="399"/>
    <s v="319 Main St"/>
    <s v="Debit Card"/>
    <x v="3"/>
    <s v="Facebook"/>
    <n v="2119.65"/>
  </r>
  <r>
    <s v="ORD200400"/>
    <s v="C56266"/>
    <x v="6"/>
    <n v="4"/>
    <x v="400"/>
    <s v="304 Main St"/>
    <s v="Debit Card"/>
    <x v="6"/>
    <s v="Instagram"/>
    <n v="640.88"/>
  </r>
  <r>
    <s v="ORD200401"/>
    <s v="C98635"/>
    <x v="4"/>
    <n v="1"/>
    <x v="401"/>
    <s v="197 Main St"/>
    <s v="Debit Card"/>
    <x v="5"/>
    <s v="Referral"/>
    <n v="538.67999999999995"/>
  </r>
  <r>
    <s v="ORD200402"/>
    <s v="C83026"/>
    <x v="4"/>
    <n v="5"/>
    <x v="402"/>
    <s v="858 Main St"/>
    <s v="Gift Card"/>
    <x v="3"/>
    <s v="Referral"/>
    <n v="1686.9"/>
  </r>
  <r>
    <s v="ORD200403"/>
    <s v="C28893"/>
    <x v="2"/>
    <n v="1"/>
    <x v="403"/>
    <s v="740 Main St"/>
    <s v="Online"/>
    <x v="9"/>
    <s v="Referral"/>
    <n v="620.21"/>
  </r>
  <r>
    <s v="ORD200404"/>
    <s v="C45482"/>
    <x v="0"/>
    <n v="2"/>
    <x v="404"/>
    <s v="440 Main St"/>
    <s v="Cash"/>
    <x v="5"/>
    <s v="Instagram"/>
    <n v="198.2"/>
  </r>
  <r>
    <s v="ORD200405"/>
    <s v="C97774"/>
    <x v="0"/>
    <n v="4"/>
    <x v="405"/>
    <s v="603 Main St"/>
    <s v="Online"/>
    <x v="0"/>
    <s v="Email"/>
    <n v="1807.88"/>
  </r>
  <r>
    <s v="ORD200406"/>
    <s v="C11657"/>
    <x v="2"/>
    <n v="4"/>
    <x v="406"/>
    <s v="572 Main St"/>
    <s v="Cash"/>
    <x v="6"/>
    <s v="Google"/>
    <n v="264.39999999999998"/>
  </r>
  <r>
    <s v="ORD200407"/>
    <s v="C85993"/>
    <x v="2"/>
    <n v="4"/>
    <x v="407"/>
    <s v="250 Main St"/>
    <s v="Cash"/>
    <x v="2"/>
    <s v="Instagram"/>
    <n v="2189.2800000000002"/>
  </r>
  <r>
    <s v="ORD200408"/>
    <s v="C11906"/>
    <x v="4"/>
    <n v="3"/>
    <x v="408"/>
    <s v="536 Main St"/>
    <s v="Online"/>
    <x v="5"/>
    <s v="Google"/>
    <n v="1237.5899999999999"/>
  </r>
  <r>
    <s v="ORD200409"/>
    <s v="C45187"/>
    <x v="6"/>
    <n v="5"/>
    <x v="409"/>
    <s v="767 Main St"/>
    <s v="Online"/>
    <x v="6"/>
    <s v="Google"/>
    <n v="420.65"/>
  </r>
  <r>
    <s v="ORD200410"/>
    <s v="C37375"/>
    <x v="2"/>
    <n v="2"/>
    <x v="410"/>
    <s v="184 Main St"/>
    <s v="Debit Card"/>
    <x v="3"/>
    <s v="Email"/>
    <n v="1036.46"/>
  </r>
  <r>
    <s v="ORD200411"/>
    <s v="C66567"/>
    <x v="6"/>
    <n v="2"/>
    <x v="411"/>
    <s v="981 Main St"/>
    <s v="Online"/>
    <x v="3"/>
    <s v="Facebook"/>
    <n v="79.02"/>
  </r>
  <r>
    <s v="ORD200412"/>
    <s v="C42451"/>
    <x v="2"/>
    <n v="5"/>
    <x v="412"/>
    <s v="246 Main St"/>
    <s v="Credit Card"/>
    <x v="8"/>
    <s v="Facebook"/>
    <n v="665.05"/>
  </r>
  <r>
    <s v="ORD200413"/>
    <s v="C13923"/>
    <x v="2"/>
    <n v="1"/>
    <x v="413"/>
    <s v="123 Main St"/>
    <s v="Online"/>
    <x v="5"/>
    <s v="Email"/>
    <n v="118.8"/>
  </r>
  <r>
    <s v="ORD200414"/>
    <s v="C11829"/>
    <x v="6"/>
    <n v="2"/>
    <x v="414"/>
    <s v="797 Main St"/>
    <s v="Cash"/>
    <x v="4"/>
    <s v="Facebook"/>
    <n v="279.14"/>
  </r>
  <r>
    <s v="ORD200415"/>
    <s v="C62169"/>
    <x v="3"/>
    <n v="1"/>
    <x v="415"/>
    <s v="655 Main St"/>
    <s v="Gift Card"/>
    <x v="3"/>
    <s v="Facebook"/>
    <n v="184.15"/>
  </r>
  <r>
    <s v="ORD200416"/>
    <s v="C20881"/>
    <x v="5"/>
    <n v="2"/>
    <x v="416"/>
    <s v="652 Main St"/>
    <s v="Gift Card"/>
    <x v="3"/>
    <s v="Referral"/>
    <n v="1288.0999999999999"/>
  </r>
  <r>
    <s v="ORD200417"/>
    <s v="C44492"/>
    <x v="5"/>
    <n v="5"/>
    <x v="417"/>
    <s v="954 Main St"/>
    <s v="Online"/>
    <x v="3"/>
    <s v="Google"/>
    <n v="277.05"/>
  </r>
  <r>
    <s v="ORD200418"/>
    <s v="C74169"/>
    <x v="4"/>
    <n v="1"/>
    <x v="418"/>
    <s v="862 Main St"/>
    <s v="Online"/>
    <x v="1"/>
    <s v="Facebook"/>
    <n v="310.93"/>
  </r>
  <r>
    <s v="ORD200419"/>
    <s v="C70999"/>
    <x v="2"/>
    <n v="2"/>
    <x v="419"/>
    <s v="885 Main St"/>
    <s v="Debit Card"/>
    <x v="5"/>
    <s v="Instagram"/>
    <n v="433.32"/>
  </r>
  <r>
    <s v="ORD200420"/>
    <s v="C11921"/>
    <x v="1"/>
    <n v="1"/>
    <x v="420"/>
    <s v="439 Main St"/>
    <s v="Debit Card"/>
    <x v="3"/>
    <s v="Instagram"/>
    <n v="452.7"/>
  </r>
  <r>
    <s v="ORD200421"/>
    <s v="C50683"/>
    <x v="3"/>
    <n v="2"/>
    <x v="421"/>
    <s v="769 Main St"/>
    <s v="Debit Card"/>
    <x v="3"/>
    <s v="Email"/>
    <n v="576.41999999999996"/>
  </r>
  <r>
    <s v="ORD200422"/>
    <s v="C76140"/>
    <x v="1"/>
    <n v="4"/>
    <x v="422"/>
    <s v="914 Main St"/>
    <s v="Gift Card"/>
    <x v="5"/>
    <s v="Referral"/>
    <n v="826.4"/>
  </r>
  <r>
    <s v="ORD200423"/>
    <s v="C94311"/>
    <x v="4"/>
    <n v="4"/>
    <x v="423"/>
    <s v="195 Main St"/>
    <s v="Gift Card"/>
    <x v="5"/>
    <s v="Google"/>
    <n v="2740.8"/>
  </r>
  <r>
    <s v="ORD200424"/>
    <s v="C49491"/>
    <x v="3"/>
    <n v="5"/>
    <x v="424"/>
    <s v="339 Main St"/>
    <s v="Cash"/>
    <x v="8"/>
    <s v="Email"/>
    <n v="114.7"/>
  </r>
  <r>
    <s v="ORD200425"/>
    <s v="C40648"/>
    <x v="5"/>
    <n v="2"/>
    <x v="425"/>
    <s v="488 Main St"/>
    <s v="Gift Card"/>
    <x v="3"/>
    <s v="Email"/>
    <n v="603.76"/>
  </r>
  <r>
    <s v="ORD200426"/>
    <s v="C40967"/>
    <x v="0"/>
    <n v="5"/>
    <x v="426"/>
    <s v="315 Main St"/>
    <s v="Cash"/>
    <x v="8"/>
    <s v="Facebook"/>
    <n v="287.25"/>
  </r>
  <r>
    <s v="ORD200427"/>
    <s v="C25406"/>
    <x v="6"/>
    <n v="1"/>
    <x v="427"/>
    <s v="379 Main St"/>
    <s v="Credit Card"/>
    <x v="1"/>
    <s v="Instagram"/>
    <n v="161.24"/>
  </r>
  <r>
    <s v="ORD200428"/>
    <s v="C77085"/>
    <x v="3"/>
    <n v="4"/>
    <x v="428"/>
    <s v="895 Main St"/>
    <s v="Online"/>
    <x v="2"/>
    <s v="Email"/>
    <n v="1050.32"/>
  </r>
  <r>
    <s v="ORD200429"/>
    <s v="C38126"/>
    <x v="4"/>
    <n v="4"/>
    <x v="429"/>
    <s v="522 Main St"/>
    <s v="Credit Card"/>
    <x v="6"/>
    <s v="Facebook"/>
    <n v="2060.7600000000002"/>
  </r>
  <r>
    <s v="ORD200430"/>
    <s v="C87448"/>
    <x v="1"/>
    <n v="1"/>
    <x v="430"/>
    <s v="433 Main St"/>
    <s v="Gift Card"/>
    <x v="5"/>
    <s v="Google"/>
    <n v="450.07"/>
  </r>
  <r>
    <s v="ORD200431"/>
    <s v="C62312"/>
    <x v="4"/>
    <n v="1"/>
    <x v="431"/>
    <s v="651 Main St"/>
    <s v="Debit Card"/>
    <x v="5"/>
    <s v="Facebook"/>
    <n v="52.54"/>
  </r>
  <r>
    <s v="ORD200432"/>
    <s v="C58443"/>
    <x v="2"/>
    <n v="2"/>
    <x v="432"/>
    <s v="662 Main St"/>
    <s v="Credit Card"/>
    <x v="5"/>
    <s v="Referral"/>
    <n v="848.64"/>
  </r>
  <r>
    <s v="ORD200433"/>
    <s v="C36613"/>
    <x v="0"/>
    <n v="3"/>
    <x v="433"/>
    <s v="785 Main St"/>
    <s v="Credit Card"/>
    <x v="1"/>
    <s v="Facebook"/>
    <n v="1894.92"/>
  </r>
  <r>
    <s v="ORD200434"/>
    <s v="C73893"/>
    <x v="4"/>
    <n v="5"/>
    <x v="434"/>
    <s v="384 Main St"/>
    <s v="Credit Card"/>
    <x v="5"/>
    <s v="Facebook"/>
    <n v="1638.4"/>
  </r>
  <r>
    <s v="ORD200435"/>
    <s v="C48601"/>
    <x v="4"/>
    <n v="1"/>
    <x v="435"/>
    <s v="101 Main St"/>
    <s v="Debit Card"/>
    <x v="1"/>
    <s v="Instagram"/>
    <n v="414.47"/>
  </r>
  <r>
    <s v="ORD200436"/>
    <s v="C14568"/>
    <x v="5"/>
    <n v="4"/>
    <x v="436"/>
    <s v="651 Main St"/>
    <s v="Online"/>
    <x v="3"/>
    <s v="Google"/>
    <n v="885.32"/>
  </r>
  <r>
    <s v="ORD200437"/>
    <s v="C63378"/>
    <x v="1"/>
    <n v="1"/>
    <x v="437"/>
    <s v="955 Main St"/>
    <s v="Online"/>
    <x v="7"/>
    <s v="Instagram"/>
    <n v="512.39"/>
  </r>
  <r>
    <s v="ORD200438"/>
    <s v="C77800"/>
    <x v="2"/>
    <n v="3"/>
    <x v="438"/>
    <s v="436 Main St"/>
    <s v="Gift Card"/>
    <x v="1"/>
    <s v="Instagram"/>
    <n v="1378.02"/>
  </r>
  <r>
    <s v="ORD200439"/>
    <s v="C91155"/>
    <x v="2"/>
    <n v="1"/>
    <x v="439"/>
    <s v="321 Main St"/>
    <s v="Online"/>
    <x v="4"/>
    <s v="Facebook"/>
    <n v="146.32"/>
  </r>
  <r>
    <s v="ORD200440"/>
    <s v="C60215"/>
    <x v="6"/>
    <n v="4"/>
    <x v="440"/>
    <s v="978 Main St"/>
    <s v="Debit Card"/>
    <x v="4"/>
    <s v="Facebook"/>
    <n v="334.4"/>
  </r>
  <r>
    <s v="ORD200441"/>
    <s v="C52915"/>
    <x v="4"/>
    <n v="2"/>
    <x v="441"/>
    <s v="475 Main St"/>
    <s v="Gift Card"/>
    <x v="5"/>
    <s v="Email"/>
    <n v="657.08"/>
  </r>
  <r>
    <s v="ORD200442"/>
    <s v="C72588"/>
    <x v="3"/>
    <n v="5"/>
    <x v="442"/>
    <s v="661 Main St"/>
    <s v="Cash"/>
    <x v="2"/>
    <s v="Instagram"/>
    <n v="1574.7"/>
  </r>
  <r>
    <s v="ORD200443"/>
    <s v="C61668"/>
    <x v="3"/>
    <n v="2"/>
    <x v="443"/>
    <s v="813 Main St"/>
    <s v="Cash"/>
    <x v="5"/>
    <s v="Facebook"/>
    <n v="139.28"/>
  </r>
  <r>
    <s v="ORD200444"/>
    <s v="C79508"/>
    <x v="4"/>
    <n v="1"/>
    <x v="444"/>
    <s v="585 Main St"/>
    <s v="Online"/>
    <x v="5"/>
    <s v="Instagram"/>
    <n v="135.16999999999999"/>
  </r>
  <r>
    <s v="ORD200445"/>
    <s v="C94569"/>
    <x v="1"/>
    <n v="1"/>
    <x v="445"/>
    <s v="227 Main St"/>
    <s v="Cash"/>
    <x v="1"/>
    <s v="Referral"/>
    <n v="487.21"/>
  </r>
  <r>
    <s v="ORD200446"/>
    <s v="C89592"/>
    <x v="5"/>
    <n v="5"/>
    <x v="446"/>
    <s v="262 Main St"/>
    <s v="Online"/>
    <x v="5"/>
    <s v="Instagram"/>
    <n v="2547.9"/>
  </r>
  <r>
    <s v="ORD200447"/>
    <s v="C48207"/>
    <x v="4"/>
    <n v="2"/>
    <x v="447"/>
    <s v="356 Main St"/>
    <s v="Cash"/>
    <x v="7"/>
    <s v="Facebook"/>
    <n v="833.62"/>
  </r>
  <r>
    <s v="ORD200448"/>
    <s v="C16776"/>
    <x v="5"/>
    <n v="2"/>
    <x v="448"/>
    <s v="854 Main St"/>
    <s v="Cash"/>
    <x v="4"/>
    <s v="Instagram"/>
    <n v="320"/>
  </r>
  <r>
    <s v="ORD200449"/>
    <s v="C91518"/>
    <x v="2"/>
    <n v="3"/>
    <x v="449"/>
    <s v="286 Main St"/>
    <s v="Online"/>
    <x v="1"/>
    <s v="Instagram"/>
    <n v="759.15000000000009"/>
  </r>
  <r>
    <s v="ORD200450"/>
    <s v="C36408"/>
    <x v="0"/>
    <n v="5"/>
    <x v="450"/>
    <s v="160 Main St"/>
    <s v="Gift Card"/>
    <x v="8"/>
    <s v="Instagram"/>
    <n v="3075.5"/>
  </r>
  <r>
    <s v="ORD200451"/>
    <s v="C14837"/>
    <x v="0"/>
    <n v="1"/>
    <x v="451"/>
    <s v="647 Main St"/>
    <s v="Debit Card"/>
    <x v="5"/>
    <s v="Email"/>
    <n v="183.18"/>
  </r>
  <r>
    <s v="ORD200452"/>
    <s v="C36467"/>
    <x v="4"/>
    <n v="1"/>
    <x v="452"/>
    <s v="581 Main St"/>
    <s v="Cash"/>
    <x v="3"/>
    <s v="Google"/>
    <n v="75.78"/>
  </r>
  <r>
    <s v="ORD200453"/>
    <s v="C15017"/>
    <x v="2"/>
    <n v="1"/>
    <x v="453"/>
    <s v="492 Main St"/>
    <s v="Cash"/>
    <x v="9"/>
    <s v="Facebook"/>
    <n v="675.57"/>
  </r>
  <r>
    <s v="ORD200454"/>
    <s v="C54759"/>
    <x v="5"/>
    <n v="1"/>
    <x v="454"/>
    <s v="686 Main St"/>
    <s v="Debit Card"/>
    <x v="3"/>
    <s v="Google"/>
    <n v="109.29"/>
  </r>
  <r>
    <s v="ORD200455"/>
    <s v="C58341"/>
    <x v="1"/>
    <n v="1"/>
    <x v="455"/>
    <s v="874 Main St"/>
    <s v="Debit Card"/>
    <x v="7"/>
    <s v="Referral"/>
    <n v="639.83000000000004"/>
  </r>
  <r>
    <s v="ORD200456"/>
    <s v="C94479"/>
    <x v="6"/>
    <n v="5"/>
    <x v="456"/>
    <s v="259 Main St"/>
    <s v="Credit Card"/>
    <x v="6"/>
    <s v="Facebook"/>
    <n v="314.05"/>
  </r>
  <r>
    <s v="ORD200457"/>
    <s v="C50236"/>
    <x v="6"/>
    <n v="4"/>
    <x v="457"/>
    <s v="545 Main St"/>
    <s v="Online"/>
    <x v="4"/>
    <s v="Instagram"/>
    <n v="2463.3200000000002"/>
  </r>
  <r>
    <s v="ORD200458"/>
    <s v="C31412"/>
    <x v="0"/>
    <n v="4"/>
    <x v="458"/>
    <s v="196 Main St"/>
    <s v="Credit Card"/>
    <x v="0"/>
    <s v="Email"/>
    <n v="2042.32"/>
  </r>
  <r>
    <s v="ORD200459"/>
    <s v="C90142"/>
    <x v="6"/>
    <n v="1"/>
    <x v="459"/>
    <s v="433 Main St"/>
    <s v="Credit Card"/>
    <x v="7"/>
    <s v="Instagram"/>
    <n v="334.39"/>
  </r>
  <r>
    <s v="ORD200460"/>
    <s v="C83548"/>
    <x v="5"/>
    <n v="1"/>
    <x v="460"/>
    <s v="474 Main St"/>
    <s v="Cash"/>
    <x v="7"/>
    <s v="Referral"/>
    <n v="144.25"/>
  </r>
  <r>
    <s v="ORD200461"/>
    <s v="C29697"/>
    <x v="2"/>
    <n v="1"/>
    <x v="461"/>
    <s v="407 Main St"/>
    <s v="Credit Card"/>
    <x v="3"/>
    <s v="Google"/>
    <n v="401.82"/>
  </r>
  <r>
    <s v="ORD200462"/>
    <s v="C22991"/>
    <x v="1"/>
    <n v="1"/>
    <x v="462"/>
    <s v="731 Main St"/>
    <s v="Online"/>
    <x v="9"/>
    <s v="Referral"/>
    <n v="252.68"/>
  </r>
  <r>
    <s v="ORD200463"/>
    <s v="C25276"/>
    <x v="5"/>
    <n v="5"/>
    <x v="463"/>
    <s v="214 Main St"/>
    <s v="Debit Card"/>
    <x v="6"/>
    <s v="Instagram"/>
    <n v="3313.9"/>
  </r>
  <r>
    <s v="ORD200464"/>
    <s v="C39176"/>
    <x v="2"/>
    <n v="4"/>
    <x v="464"/>
    <s v="739 Main St"/>
    <s v="Online"/>
    <x v="5"/>
    <s v="Google"/>
    <n v="1737.68"/>
  </r>
  <r>
    <s v="ORD200465"/>
    <s v="C58773"/>
    <x v="4"/>
    <n v="5"/>
    <x v="465"/>
    <s v="391 Main St"/>
    <s v="Gift Card"/>
    <x v="2"/>
    <s v="Google"/>
    <n v="2567.4499999999998"/>
  </r>
  <r>
    <s v="ORD200466"/>
    <s v="C37412"/>
    <x v="1"/>
    <n v="1"/>
    <x v="466"/>
    <s v="895 Main St"/>
    <s v="Cash"/>
    <x v="4"/>
    <s v="Referral"/>
    <n v="432.47"/>
  </r>
  <r>
    <s v="ORD200467"/>
    <s v="C36492"/>
    <x v="6"/>
    <n v="1"/>
    <x v="467"/>
    <s v="572 Main St"/>
    <s v="Cash"/>
    <x v="7"/>
    <s v="Email"/>
    <n v="45.94"/>
  </r>
  <r>
    <s v="ORD200468"/>
    <s v="C90110"/>
    <x v="1"/>
    <n v="1"/>
    <x v="468"/>
    <s v="998 Main St"/>
    <s v="Credit Card"/>
    <x v="3"/>
    <s v="Email"/>
    <n v="418.36"/>
  </r>
  <r>
    <s v="ORD200469"/>
    <s v="C13877"/>
    <x v="3"/>
    <n v="5"/>
    <x v="469"/>
    <s v="893 Main St"/>
    <s v="Cash"/>
    <x v="3"/>
    <s v="Facebook"/>
    <n v="3384.9"/>
  </r>
  <r>
    <s v="ORD200470"/>
    <s v="C25149"/>
    <x v="2"/>
    <n v="4"/>
    <x v="470"/>
    <s v="672 Main St"/>
    <s v="Cash"/>
    <x v="3"/>
    <s v="Email"/>
    <n v="1054.48"/>
  </r>
  <r>
    <s v="ORD200471"/>
    <s v="C52717"/>
    <x v="6"/>
    <n v="5"/>
    <x v="471"/>
    <s v="395 Main St"/>
    <s v="Online"/>
    <x v="0"/>
    <s v="Referral"/>
    <n v="2756.35"/>
  </r>
  <r>
    <s v="ORD200472"/>
    <s v="C60029"/>
    <x v="3"/>
    <n v="3"/>
    <x v="472"/>
    <s v="796 Main St"/>
    <s v="Credit Card"/>
    <x v="2"/>
    <s v="Referral"/>
    <n v="1524.36"/>
  </r>
  <r>
    <s v="ORD200473"/>
    <s v="C28552"/>
    <x v="3"/>
    <n v="2"/>
    <x v="473"/>
    <s v="449 Main St"/>
    <s v="Online"/>
    <x v="4"/>
    <s v="Facebook"/>
    <n v="29.86"/>
  </r>
  <r>
    <s v="ORD200474"/>
    <s v="C72293"/>
    <x v="4"/>
    <n v="3"/>
    <x v="474"/>
    <s v="398 Main St"/>
    <s v="Credit Card"/>
    <x v="5"/>
    <s v="Referral"/>
    <n v="688.02"/>
  </r>
  <r>
    <s v="ORD200475"/>
    <s v="C29844"/>
    <x v="2"/>
    <n v="2"/>
    <x v="475"/>
    <s v="363 Main St"/>
    <s v="Cash"/>
    <x v="1"/>
    <s v="Facebook"/>
    <n v="877.24"/>
  </r>
  <r>
    <s v="ORD200476"/>
    <s v="C77872"/>
    <x v="1"/>
    <n v="2"/>
    <x v="476"/>
    <s v="867 Main St"/>
    <s v="Online"/>
    <x v="4"/>
    <s v="Referral"/>
    <n v="1027.18"/>
  </r>
  <r>
    <s v="ORD200477"/>
    <s v="C56564"/>
    <x v="1"/>
    <n v="2"/>
    <x v="477"/>
    <s v="481 Main St"/>
    <s v="Online"/>
    <x v="3"/>
    <s v="Google"/>
    <n v="507.48"/>
  </r>
  <r>
    <s v="ORD200478"/>
    <s v="C16758"/>
    <x v="2"/>
    <n v="3"/>
    <x v="478"/>
    <s v="914 Main St"/>
    <s v="Gift Card"/>
    <x v="5"/>
    <s v="Referral"/>
    <n v="188.31"/>
  </r>
  <r>
    <s v="ORD200479"/>
    <s v="C87011"/>
    <x v="0"/>
    <n v="4"/>
    <x v="479"/>
    <s v="943 Main St"/>
    <s v="Credit Card"/>
    <x v="2"/>
    <s v="Google"/>
    <n v="101.16"/>
  </r>
  <r>
    <s v="ORD200480"/>
    <s v="C21147"/>
    <x v="3"/>
    <n v="1"/>
    <x v="480"/>
    <s v="126 Main St"/>
    <s v="Debit Card"/>
    <x v="5"/>
    <s v="Referral"/>
    <n v="335.1"/>
  </r>
  <r>
    <s v="ORD200481"/>
    <s v="C94568"/>
    <x v="5"/>
    <n v="4"/>
    <x v="481"/>
    <s v="317 Main St"/>
    <s v="Debit Card"/>
    <x v="3"/>
    <s v="Referral"/>
    <n v="1939.4"/>
  </r>
  <r>
    <s v="ORD200482"/>
    <s v="C35852"/>
    <x v="0"/>
    <n v="3"/>
    <x v="482"/>
    <s v="989 Main St"/>
    <s v="Online"/>
    <x v="5"/>
    <s v="Instagram"/>
    <n v="1144.23"/>
  </r>
  <r>
    <s v="ORD200483"/>
    <s v="C66462"/>
    <x v="1"/>
    <n v="5"/>
    <x v="483"/>
    <s v="982 Main St"/>
    <s v="Cash"/>
    <x v="5"/>
    <s v="Google"/>
    <n v="1739.6"/>
  </r>
  <r>
    <s v="ORD200484"/>
    <s v="C29092"/>
    <x v="3"/>
    <n v="4"/>
    <x v="484"/>
    <s v="767 Main St"/>
    <s v="Cash"/>
    <x v="5"/>
    <s v="Facebook"/>
    <n v="60.04"/>
  </r>
  <r>
    <s v="ORD200485"/>
    <s v="C46651"/>
    <x v="3"/>
    <n v="3"/>
    <x v="485"/>
    <s v="764 Main St"/>
    <s v="Cash"/>
    <x v="5"/>
    <s v="Instagram"/>
    <n v="1214.3699999999999"/>
  </r>
  <r>
    <s v="ORD200486"/>
    <s v="C88981"/>
    <x v="4"/>
    <n v="4"/>
    <x v="486"/>
    <s v="558 Main St"/>
    <s v="Cash"/>
    <x v="3"/>
    <s v="Referral"/>
    <n v="2445.04"/>
  </r>
  <r>
    <s v="ORD200487"/>
    <s v="C40136"/>
    <x v="4"/>
    <n v="3"/>
    <x v="487"/>
    <s v="211 Main St"/>
    <s v="Credit Card"/>
    <x v="1"/>
    <s v="Google"/>
    <n v="1039.56"/>
  </r>
  <r>
    <s v="ORD200488"/>
    <s v="C81573"/>
    <x v="3"/>
    <n v="1"/>
    <x v="488"/>
    <s v="556 Main St"/>
    <s v="Online"/>
    <x v="9"/>
    <s v="Email"/>
    <n v="36.65"/>
  </r>
  <r>
    <s v="ORD200489"/>
    <s v="C11940"/>
    <x v="2"/>
    <n v="3"/>
    <x v="489"/>
    <s v="589 Main St"/>
    <s v="Gift Card"/>
    <x v="0"/>
    <s v="Email"/>
    <n v="448.02"/>
  </r>
  <r>
    <s v="ORD200490"/>
    <s v="C50097"/>
    <x v="3"/>
    <n v="5"/>
    <x v="490"/>
    <s v="539 Main St"/>
    <s v="Online"/>
    <x v="8"/>
    <s v="Facebook"/>
    <n v="2339.0500000000002"/>
  </r>
  <r>
    <s v="ORD200491"/>
    <s v="C98168"/>
    <x v="1"/>
    <n v="5"/>
    <x v="491"/>
    <s v="481 Main St"/>
    <s v="Cash"/>
    <x v="3"/>
    <s v="Facebook"/>
    <n v="2103.5"/>
  </r>
  <r>
    <s v="ORD200492"/>
    <s v="C39074"/>
    <x v="5"/>
    <n v="5"/>
    <x v="492"/>
    <s v="103 Main St"/>
    <s v="Debit Card"/>
    <x v="5"/>
    <s v="Instagram"/>
    <n v="3032.6"/>
  </r>
  <r>
    <s v="ORD200493"/>
    <s v="C84908"/>
    <x v="1"/>
    <n v="1"/>
    <x v="493"/>
    <s v="372 Main St"/>
    <s v="Credit Card"/>
    <x v="4"/>
    <s v="Facebook"/>
    <n v="420.26"/>
  </r>
  <r>
    <s v="ORD200494"/>
    <s v="C64516"/>
    <x v="5"/>
    <n v="3"/>
    <x v="494"/>
    <s v="459 Main St"/>
    <s v="Debit Card"/>
    <x v="1"/>
    <s v="Referral"/>
    <n v="1517.37"/>
  </r>
  <r>
    <s v="ORD200495"/>
    <s v="C63827"/>
    <x v="1"/>
    <n v="4"/>
    <x v="495"/>
    <s v="947 Main St"/>
    <s v="Debit Card"/>
    <x v="5"/>
    <s v="Facebook"/>
    <n v="1974.92"/>
  </r>
  <r>
    <s v="ORD200496"/>
    <s v="C93618"/>
    <x v="4"/>
    <n v="3"/>
    <x v="496"/>
    <s v="249 Main St"/>
    <s v="Online"/>
    <x v="1"/>
    <s v="Google"/>
    <n v="603.63"/>
  </r>
  <r>
    <s v="ORD200497"/>
    <s v="C93948"/>
    <x v="4"/>
    <n v="3"/>
    <x v="497"/>
    <s v="454 Main St"/>
    <s v="Gift Card"/>
    <x v="5"/>
    <s v="Google"/>
    <n v="336.87"/>
  </r>
  <r>
    <s v="ORD200498"/>
    <s v="C73961"/>
    <x v="2"/>
    <n v="4"/>
    <x v="498"/>
    <s v="306 Main St"/>
    <s v="Cash"/>
    <x v="2"/>
    <s v="Instagram"/>
    <n v="530.24"/>
  </r>
  <r>
    <s v="ORD200499"/>
    <s v="C18138"/>
    <x v="4"/>
    <n v="3"/>
    <x v="499"/>
    <s v="520 Main St"/>
    <s v="Credit Card"/>
    <x v="4"/>
    <s v="Facebook"/>
    <n v="1618.38"/>
  </r>
  <r>
    <s v="ORD200500"/>
    <s v="C79475"/>
    <x v="5"/>
    <n v="5"/>
    <x v="500"/>
    <s v="169 Main St"/>
    <s v="Cash"/>
    <x v="2"/>
    <s v="Facebook"/>
    <n v="2542.9499999999998"/>
  </r>
  <r>
    <s v="ORD200501"/>
    <s v="C88546"/>
    <x v="6"/>
    <n v="4"/>
    <x v="501"/>
    <s v="226 Main St"/>
    <s v="Credit Card"/>
    <x v="0"/>
    <s v="Referral"/>
    <n v="813.84"/>
  </r>
  <r>
    <s v="ORD200502"/>
    <s v="C69332"/>
    <x v="0"/>
    <n v="3"/>
    <x v="502"/>
    <s v="745 Main St"/>
    <s v="Debit Card"/>
    <x v="0"/>
    <s v="Email"/>
    <n v="1695.75"/>
  </r>
  <r>
    <s v="ORD200503"/>
    <s v="C64554"/>
    <x v="2"/>
    <n v="3"/>
    <x v="503"/>
    <s v="498 Main St"/>
    <s v="Online"/>
    <x v="4"/>
    <s v="Facebook"/>
    <n v="410.52"/>
  </r>
  <r>
    <s v="ORD200504"/>
    <s v="C11676"/>
    <x v="0"/>
    <n v="2"/>
    <x v="504"/>
    <s v="805 Main St"/>
    <s v="Online"/>
    <x v="7"/>
    <s v="Instagram"/>
    <n v="929"/>
  </r>
  <r>
    <s v="ORD200505"/>
    <s v="C36014"/>
    <x v="4"/>
    <n v="2"/>
    <x v="505"/>
    <s v="558 Main St"/>
    <s v="Online"/>
    <x v="0"/>
    <s v="Email"/>
    <n v="869.94"/>
  </r>
  <r>
    <s v="ORD200506"/>
    <s v="C23279"/>
    <x v="0"/>
    <n v="2"/>
    <x v="506"/>
    <s v="696 Main St"/>
    <s v="Cash"/>
    <x v="4"/>
    <s v="Instagram"/>
    <n v="87.34"/>
  </r>
  <r>
    <s v="ORD200507"/>
    <s v="C86481"/>
    <x v="1"/>
    <n v="1"/>
    <x v="507"/>
    <s v="546 Main St"/>
    <s v="Credit Card"/>
    <x v="3"/>
    <s v="Email"/>
    <n v="171.59"/>
  </r>
  <r>
    <s v="ORD200508"/>
    <s v="C39550"/>
    <x v="1"/>
    <n v="1"/>
    <x v="508"/>
    <s v="976 Main St"/>
    <s v="Online"/>
    <x v="9"/>
    <s v="Referral"/>
    <n v="558.27"/>
  </r>
  <r>
    <s v="ORD200509"/>
    <s v="C68937"/>
    <x v="5"/>
    <n v="2"/>
    <x v="509"/>
    <s v="560 Main St"/>
    <s v="Cash"/>
    <x v="7"/>
    <s v="Google"/>
    <n v="850.06"/>
  </r>
  <r>
    <s v="ORD200510"/>
    <s v="C72533"/>
    <x v="4"/>
    <n v="1"/>
    <x v="510"/>
    <s v="389 Main St"/>
    <s v="Debit Card"/>
    <x v="3"/>
    <s v="Email"/>
    <n v="376.76"/>
  </r>
  <r>
    <s v="ORD200511"/>
    <s v="C11415"/>
    <x v="0"/>
    <n v="5"/>
    <x v="511"/>
    <s v="267 Main St"/>
    <s v="Cash"/>
    <x v="0"/>
    <s v="Email"/>
    <n v="2876.2"/>
  </r>
  <r>
    <s v="ORD200512"/>
    <s v="C14114"/>
    <x v="6"/>
    <n v="3"/>
    <x v="512"/>
    <s v="856 Main St"/>
    <s v="Online"/>
    <x v="1"/>
    <s v="Instagram"/>
    <n v="1704.06"/>
  </r>
  <r>
    <s v="ORD200513"/>
    <s v="C64128"/>
    <x v="2"/>
    <n v="3"/>
    <x v="513"/>
    <s v="533 Main St"/>
    <s v="Gift Card"/>
    <x v="2"/>
    <s v="Referral"/>
    <n v="284.64"/>
  </r>
  <r>
    <s v="ORD200514"/>
    <s v="C15629"/>
    <x v="4"/>
    <n v="3"/>
    <x v="514"/>
    <s v="492 Main St"/>
    <s v="Gift Card"/>
    <x v="1"/>
    <s v="Instagram"/>
    <n v="912.44999999999993"/>
  </r>
  <r>
    <s v="ORD200515"/>
    <s v="C67561"/>
    <x v="1"/>
    <n v="3"/>
    <x v="515"/>
    <s v="160 Main St"/>
    <s v="Gift Card"/>
    <x v="4"/>
    <s v="Facebook"/>
    <n v="1660.56"/>
  </r>
  <r>
    <s v="ORD200516"/>
    <s v="C47022"/>
    <x v="0"/>
    <n v="3"/>
    <x v="516"/>
    <s v="208 Main St"/>
    <s v="Cash"/>
    <x v="2"/>
    <s v="Facebook"/>
    <n v="500.97"/>
  </r>
  <r>
    <s v="ORD200517"/>
    <s v="C55205"/>
    <x v="2"/>
    <n v="4"/>
    <x v="517"/>
    <s v="943 Main St"/>
    <s v="Cash"/>
    <x v="0"/>
    <s v="Google"/>
    <n v="793.4"/>
  </r>
  <r>
    <s v="ORD200518"/>
    <s v="C30686"/>
    <x v="4"/>
    <n v="4"/>
    <x v="518"/>
    <s v="319 Main St"/>
    <s v="Online"/>
    <x v="6"/>
    <s v="Referral"/>
    <n v="1614.32"/>
  </r>
  <r>
    <s v="ORD200519"/>
    <s v="C71797"/>
    <x v="5"/>
    <n v="4"/>
    <x v="519"/>
    <s v="941 Main St"/>
    <s v="Debit Card"/>
    <x v="3"/>
    <s v="Email"/>
    <n v="1857.16"/>
  </r>
  <r>
    <s v="ORD200520"/>
    <s v="C66332"/>
    <x v="0"/>
    <n v="3"/>
    <x v="520"/>
    <s v="959 Main St"/>
    <s v="Cash"/>
    <x v="3"/>
    <s v="Referral"/>
    <n v="1907.94"/>
  </r>
  <r>
    <s v="ORD200521"/>
    <s v="C82318"/>
    <x v="1"/>
    <n v="1"/>
    <x v="521"/>
    <s v="991 Main St"/>
    <s v="Credit Card"/>
    <x v="7"/>
    <s v="Facebook"/>
    <n v="528.05999999999995"/>
  </r>
  <r>
    <s v="ORD200522"/>
    <s v="C66254"/>
    <x v="3"/>
    <n v="1"/>
    <x v="522"/>
    <s v="740 Main St"/>
    <s v="Gift Card"/>
    <x v="9"/>
    <s v="Email"/>
    <n v="515.32000000000005"/>
  </r>
  <r>
    <s v="ORD200523"/>
    <s v="C65083"/>
    <x v="6"/>
    <n v="4"/>
    <x v="523"/>
    <s v="652 Main St"/>
    <s v="Credit Card"/>
    <x v="5"/>
    <s v="Google"/>
    <n v="2631.16"/>
  </r>
  <r>
    <s v="ORD200524"/>
    <s v="C44778"/>
    <x v="1"/>
    <n v="1"/>
    <x v="524"/>
    <s v="103 Main St"/>
    <s v="Credit Card"/>
    <x v="4"/>
    <s v="Referral"/>
    <n v="153"/>
  </r>
  <r>
    <s v="ORD200525"/>
    <s v="C54499"/>
    <x v="0"/>
    <n v="1"/>
    <x v="525"/>
    <s v="160 Main St"/>
    <s v="Debit Card"/>
    <x v="9"/>
    <s v="Email"/>
    <n v="668.48"/>
  </r>
  <r>
    <s v="ORD200526"/>
    <s v="C91201"/>
    <x v="6"/>
    <n v="2"/>
    <x v="526"/>
    <s v="837 Main St"/>
    <s v="Cash"/>
    <x v="0"/>
    <s v="Google"/>
    <n v="93"/>
  </r>
  <r>
    <s v="ORD200527"/>
    <s v="C27202"/>
    <x v="3"/>
    <n v="5"/>
    <x v="527"/>
    <s v="967 Main St"/>
    <s v="Credit Card"/>
    <x v="8"/>
    <s v="Referral"/>
    <n v="3267.35"/>
  </r>
  <r>
    <s v="ORD200528"/>
    <s v="C32011"/>
    <x v="3"/>
    <n v="1"/>
    <x v="528"/>
    <s v="686 Main St"/>
    <s v="Credit Card"/>
    <x v="7"/>
    <s v="Referral"/>
    <n v="628.89"/>
  </r>
  <r>
    <s v="ORD200529"/>
    <s v="C21181"/>
    <x v="2"/>
    <n v="2"/>
    <x v="529"/>
    <s v="938 Main St"/>
    <s v="Cash"/>
    <x v="4"/>
    <s v="Google"/>
    <n v="1350.2"/>
  </r>
  <r>
    <s v="ORD200530"/>
    <s v="C98450"/>
    <x v="3"/>
    <n v="4"/>
    <x v="530"/>
    <s v="613 Main St"/>
    <s v="Online"/>
    <x v="6"/>
    <s v="Google"/>
    <n v="357.64"/>
  </r>
  <r>
    <s v="ORD200531"/>
    <s v="C64502"/>
    <x v="6"/>
    <n v="5"/>
    <x v="531"/>
    <s v="722 Main St"/>
    <s v="Gift Card"/>
    <x v="5"/>
    <s v="Referral"/>
    <n v="1600.05"/>
  </r>
  <r>
    <s v="ORD200532"/>
    <s v="C47365"/>
    <x v="5"/>
    <n v="2"/>
    <x v="532"/>
    <s v="369 Main St"/>
    <s v="Online"/>
    <x v="0"/>
    <s v="Email"/>
    <n v="82"/>
  </r>
  <r>
    <s v="ORD200533"/>
    <s v="C66349"/>
    <x v="6"/>
    <n v="1"/>
    <x v="533"/>
    <s v="715 Main St"/>
    <s v="Gift Card"/>
    <x v="9"/>
    <s v="Facebook"/>
    <n v="565.85"/>
  </r>
  <r>
    <s v="ORD200534"/>
    <s v="C73289"/>
    <x v="3"/>
    <n v="3"/>
    <x v="534"/>
    <s v="906 Main St"/>
    <s v="Debit Card"/>
    <x v="4"/>
    <s v="Email"/>
    <n v="1945.77"/>
  </r>
  <r>
    <s v="ORD200535"/>
    <s v="C48649"/>
    <x v="0"/>
    <n v="3"/>
    <x v="535"/>
    <s v="332 Main St"/>
    <s v="Online"/>
    <x v="1"/>
    <s v="Email"/>
    <n v="204.36"/>
  </r>
  <r>
    <s v="ORD200536"/>
    <s v="C18724"/>
    <x v="3"/>
    <n v="1"/>
    <x v="536"/>
    <s v="124 Main St"/>
    <s v="Cash"/>
    <x v="5"/>
    <s v="Email"/>
    <n v="616.1"/>
  </r>
  <r>
    <s v="ORD200537"/>
    <s v="C68553"/>
    <x v="2"/>
    <n v="3"/>
    <x v="537"/>
    <s v="385 Main St"/>
    <s v="Online"/>
    <x v="4"/>
    <s v="Facebook"/>
    <n v="742.41"/>
  </r>
  <r>
    <s v="ORD200538"/>
    <s v="C61280"/>
    <x v="1"/>
    <n v="3"/>
    <x v="538"/>
    <s v="100 Main St"/>
    <s v="Cash"/>
    <x v="1"/>
    <s v="Email"/>
    <n v="1472.22"/>
  </r>
  <r>
    <s v="ORD200539"/>
    <s v="C53277"/>
    <x v="6"/>
    <n v="3"/>
    <x v="539"/>
    <s v="473 Main St"/>
    <s v="Gift Card"/>
    <x v="0"/>
    <s v="Google"/>
    <n v="1595.16"/>
  </r>
  <r>
    <s v="ORD200540"/>
    <s v="C87281"/>
    <x v="5"/>
    <n v="5"/>
    <x v="540"/>
    <s v="852 Main St"/>
    <s v="Online"/>
    <x v="0"/>
    <s v="Referral"/>
    <n v="3243.25"/>
  </r>
  <r>
    <s v="ORD200541"/>
    <s v="C69009"/>
    <x v="4"/>
    <n v="5"/>
    <x v="541"/>
    <s v="879 Main St"/>
    <s v="Cash"/>
    <x v="8"/>
    <s v="Instagram"/>
    <n v="2280.3000000000002"/>
  </r>
  <r>
    <s v="ORD200542"/>
    <s v="C49726"/>
    <x v="2"/>
    <n v="1"/>
    <x v="542"/>
    <s v="934 Main St"/>
    <s v="Cash"/>
    <x v="5"/>
    <s v="Email"/>
    <n v="17.98"/>
  </r>
  <r>
    <s v="ORD200543"/>
    <s v="C37531"/>
    <x v="6"/>
    <n v="5"/>
    <x v="543"/>
    <s v="354 Main St"/>
    <s v="Cash"/>
    <x v="5"/>
    <s v="Facebook"/>
    <n v="1349.3"/>
  </r>
  <r>
    <s v="ORD200544"/>
    <s v="C48713"/>
    <x v="4"/>
    <n v="5"/>
    <x v="544"/>
    <s v="373 Main St"/>
    <s v="Credit Card"/>
    <x v="3"/>
    <s v="Referral"/>
    <n v="159.80000000000001"/>
  </r>
  <r>
    <s v="ORD200545"/>
    <s v="C74138"/>
    <x v="0"/>
    <n v="2"/>
    <x v="545"/>
    <s v="964 Main St"/>
    <s v="Cash"/>
    <x v="1"/>
    <s v="Instagram"/>
    <n v="196.94"/>
  </r>
  <r>
    <s v="ORD200546"/>
    <s v="C82399"/>
    <x v="0"/>
    <n v="1"/>
    <x v="546"/>
    <s v="928 Main St"/>
    <s v="Credit Card"/>
    <x v="5"/>
    <s v="Instagram"/>
    <n v="158.68"/>
  </r>
  <r>
    <s v="ORD200547"/>
    <s v="C40427"/>
    <x v="1"/>
    <n v="1"/>
    <x v="547"/>
    <s v="411 Main St"/>
    <s v="Online"/>
    <x v="4"/>
    <s v="Facebook"/>
    <n v="613.98"/>
  </r>
  <r>
    <s v="ORD200548"/>
    <s v="C17103"/>
    <x v="4"/>
    <n v="3"/>
    <x v="548"/>
    <s v="922 Main St"/>
    <s v="Online"/>
    <x v="3"/>
    <s v="Instagram"/>
    <n v="1278.3599999999999"/>
  </r>
  <r>
    <s v="ORD200549"/>
    <s v="C34266"/>
    <x v="0"/>
    <n v="4"/>
    <x v="549"/>
    <s v="550 Main St"/>
    <s v="Debit Card"/>
    <x v="2"/>
    <s v="Instagram"/>
    <n v="2519.52"/>
  </r>
  <r>
    <s v="ORD200550"/>
    <s v="C97485"/>
    <x v="5"/>
    <n v="4"/>
    <x v="550"/>
    <s v="573 Main St"/>
    <s v="Cash"/>
    <x v="4"/>
    <s v="Google"/>
    <n v="915.64"/>
  </r>
  <r>
    <s v="ORD200551"/>
    <s v="C23947"/>
    <x v="5"/>
    <n v="1"/>
    <x v="551"/>
    <s v="353 Main St"/>
    <s v="Debit Card"/>
    <x v="5"/>
    <s v="Email"/>
    <n v="120.98"/>
  </r>
  <r>
    <s v="ORD200552"/>
    <s v="C21665"/>
    <x v="3"/>
    <n v="4"/>
    <x v="552"/>
    <s v="560 Main St"/>
    <s v="Online"/>
    <x v="2"/>
    <s v="Facebook"/>
    <n v="1700.72"/>
  </r>
  <r>
    <s v="ORD200553"/>
    <s v="C82550"/>
    <x v="1"/>
    <n v="2"/>
    <x v="553"/>
    <s v="828 Main St"/>
    <s v="Gift Card"/>
    <x v="4"/>
    <s v="Referral"/>
    <n v="667.66"/>
  </r>
  <r>
    <s v="ORD200554"/>
    <s v="C61943"/>
    <x v="5"/>
    <n v="2"/>
    <x v="554"/>
    <s v="610 Main St"/>
    <s v="Cash"/>
    <x v="3"/>
    <s v="Instagram"/>
    <n v="985.8"/>
  </r>
  <r>
    <s v="ORD200555"/>
    <s v="C88933"/>
    <x v="2"/>
    <n v="1"/>
    <x v="555"/>
    <s v="333 Main St"/>
    <s v="Cash"/>
    <x v="7"/>
    <s v="Facebook"/>
    <n v="92.04"/>
  </r>
  <r>
    <s v="ORD200556"/>
    <s v="C30923"/>
    <x v="5"/>
    <n v="1"/>
    <x v="556"/>
    <s v="932 Main St"/>
    <s v="Gift Card"/>
    <x v="7"/>
    <s v="Facebook"/>
    <n v="654.27"/>
  </r>
  <r>
    <s v="ORD200557"/>
    <s v="C56969"/>
    <x v="2"/>
    <n v="1"/>
    <x v="557"/>
    <s v="130 Main St"/>
    <s v="Debit Card"/>
    <x v="9"/>
    <s v="Facebook"/>
    <n v="56.2"/>
  </r>
  <r>
    <s v="ORD200558"/>
    <s v="C76766"/>
    <x v="1"/>
    <n v="4"/>
    <x v="558"/>
    <s v="485 Main St"/>
    <s v="Online"/>
    <x v="5"/>
    <s v="Instagram"/>
    <n v="2512.48"/>
  </r>
  <r>
    <s v="ORD200559"/>
    <s v="C22981"/>
    <x v="6"/>
    <n v="3"/>
    <x v="559"/>
    <s v="454 Main St"/>
    <s v="Debit Card"/>
    <x v="0"/>
    <s v="Email"/>
    <n v="472.2"/>
  </r>
  <r>
    <s v="ORD200560"/>
    <s v="C33634"/>
    <x v="0"/>
    <n v="4"/>
    <x v="560"/>
    <s v="524 Main St"/>
    <s v="Gift Card"/>
    <x v="0"/>
    <s v="Email"/>
    <n v="2355.4"/>
  </r>
  <r>
    <s v="ORD200561"/>
    <s v="C96822"/>
    <x v="4"/>
    <n v="2"/>
    <x v="561"/>
    <s v="198 Main St"/>
    <s v="Online"/>
    <x v="7"/>
    <s v="Google"/>
    <n v="989.56"/>
  </r>
  <r>
    <s v="ORD200562"/>
    <s v="C76675"/>
    <x v="5"/>
    <n v="3"/>
    <x v="562"/>
    <s v="922 Main St"/>
    <s v="Gift Card"/>
    <x v="5"/>
    <s v="Email"/>
    <n v="1991.79"/>
  </r>
  <r>
    <s v="ORD200563"/>
    <s v="C12039"/>
    <x v="5"/>
    <n v="1"/>
    <x v="563"/>
    <s v="844 Main St"/>
    <s v="Debit Card"/>
    <x v="9"/>
    <s v="Referral"/>
    <n v="132.68"/>
  </r>
  <r>
    <s v="ORD200564"/>
    <s v="C93309"/>
    <x v="6"/>
    <n v="5"/>
    <x v="564"/>
    <s v="734 Main St"/>
    <s v="Credit Card"/>
    <x v="3"/>
    <s v="Google"/>
    <n v="1821.4"/>
  </r>
  <r>
    <s v="ORD200565"/>
    <s v="C62042"/>
    <x v="2"/>
    <n v="5"/>
    <x v="565"/>
    <s v="214 Main St"/>
    <s v="Online"/>
    <x v="8"/>
    <s v="Facebook"/>
    <n v="1539.9"/>
  </r>
  <r>
    <s v="ORD200566"/>
    <s v="C83223"/>
    <x v="1"/>
    <n v="4"/>
    <x v="566"/>
    <s v="167 Main St"/>
    <s v="Cash"/>
    <x v="0"/>
    <s v="Email"/>
    <n v="650.84"/>
  </r>
  <r>
    <s v="ORD200567"/>
    <s v="C92575"/>
    <x v="3"/>
    <n v="5"/>
    <x v="567"/>
    <s v="153 Main St"/>
    <s v="Cash"/>
    <x v="8"/>
    <s v="Email"/>
    <n v="2464.6999999999998"/>
  </r>
  <r>
    <s v="ORD200568"/>
    <s v="C29072"/>
    <x v="5"/>
    <n v="2"/>
    <x v="568"/>
    <s v="312 Main St"/>
    <s v="Online"/>
    <x v="4"/>
    <s v="Google"/>
    <n v="687.98"/>
  </r>
  <r>
    <s v="ORD200569"/>
    <s v="C25783"/>
    <x v="6"/>
    <n v="5"/>
    <x v="569"/>
    <s v="672 Main St"/>
    <s v="Cash"/>
    <x v="2"/>
    <s v="Instagram"/>
    <n v="1253.4000000000001"/>
  </r>
  <r>
    <s v="ORD200570"/>
    <s v="C63727"/>
    <x v="6"/>
    <n v="2"/>
    <x v="570"/>
    <s v="122 Main St"/>
    <s v="Debit Card"/>
    <x v="7"/>
    <s v="Instagram"/>
    <n v="724.28"/>
  </r>
  <r>
    <s v="ORD200571"/>
    <s v="C42365"/>
    <x v="2"/>
    <n v="1"/>
    <x v="571"/>
    <s v="867 Main St"/>
    <s v="Gift Card"/>
    <x v="7"/>
    <s v="Google"/>
    <n v="214.08"/>
  </r>
  <r>
    <s v="ORD200572"/>
    <s v="C27438"/>
    <x v="4"/>
    <n v="1"/>
    <x v="572"/>
    <s v="341 Main St"/>
    <s v="Cash"/>
    <x v="4"/>
    <s v="Facebook"/>
    <n v="70.319999999999993"/>
  </r>
  <r>
    <s v="ORD200573"/>
    <s v="C13205"/>
    <x v="3"/>
    <n v="5"/>
    <x v="573"/>
    <s v="522 Main St"/>
    <s v="Debit Card"/>
    <x v="0"/>
    <s v="Instagram"/>
    <n v="2107.1"/>
  </r>
  <r>
    <s v="ORD200574"/>
    <s v="C29685"/>
    <x v="3"/>
    <n v="5"/>
    <x v="574"/>
    <s v="275 Main St"/>
    <s v="Credit Card"/>
    <x v="5"/>
    <s v="Email"/>
    <n v="1923.45"/>
  </r>
  <r>
    <s v="ORD200575"/>
    <s v="C74005"/>
    <x v="3"/>
    <n v="5"/>
    <x v="575"/>
    <s v="528 Main St"/>
    <s v="Gift Card"/>
    <x v="0"/>
    <s v="Google"/>
    <n v="2240.75"/>
  </r>
  <r>
    <s v="ORD200576"/>
    <s v="C14457"/>
    <x v="5"/>
    <n v="5"/>
    <x v="576"/>
    <s v="747 Main St"/>
    <s v="Cash"/>
    <x v="2"/>
    <s v="Facebook"/>
    <n v="395.4"/>
  </r>
  <r>
    <s v="ORD200577"/>
    <s v="C77046"/>
    <x v="2"/>
    <n v="4"/>
    <x v="577"/>
    <s v="967 Main St"/>
    <s v="Online"/>
    <x v="6"/>
    <s v="Google"/>
    <n v="741.64"/>
  </r>
  <r>
    <s v="ORD200578"/>
    <s v="C50415"/>
    <x v="0"/>
    <n v="5"/>
    <x v="578"/>
    <s v="587 Main St"/>
    <s v="Credit Card"/>
    <x v="5"/>
    <s v="Instagram"/>
    <n v="2830.35"/>
  </r>
  <r>
    <s v="ORD200579"/>
    <s v="C73999"/>
    <x v="2"/>
    <n v="2"/>
    <x v="579"/>
    <s v="413 Main St"/>
    <s v="Online"/>
    <x v="4"/>
    <s v="Facebook"/>
    <n v="375.76"/>
  </r>
  <r>
    <s v="ORD200580"/>
    <s v="C71076"/>
    <x v="0"/>
    <n v="2"/>
    <x v="580"/>
    <s v="340 Main St"/>
    <s v="Credit Card"/>
    <x v="4"/>
    <s v="Instagram"/>
    <n v="511.98"/>
  </r>
  <r>
    <s v="ORD200581"/>
    <s v="C44674"/>
    <x v="5"/>
    <n v="1"/>
    <x v="581"/>
    <s v="942 Main St"/>
    <s v="Online"/>
    <x v="9"/>
    <s v="Referral"/>
    <n v="627.34"/>
  </r>
  <r>
    <s v="ORD200582"/>
    <s v="C15228"/>
    <x v="2"/>
    <n v="3"/>
    <x v="582"/>
    <s v="558 Main St"/>
    <s v="Gift Card"/>
    <x v="2"/>
    <s v="Google"/>
    <n v="1422.42"/>
  </r>
  <r>
    <s v="ORD200583"/>
    <s v="C27072"/>
    <x v="3"/>
    <n v="3"/>
    <x v="583"/>
    <s v="996 Main St"/>
    <s v="Gift Card"/>
    <x v="4"/>
    <s v="Instagram"/>
    <n v="463.11"/>
  </r>
  <r>
    <s v="ORD200584"/>
    <s v="C15257"/>
    <x v="3"/>
    <n v="4"/>
    <x v="584"/>
    <s v="626 Main St"/>
    <s v="Online"/>
    <x v="5"/>
    <s v="Google"/>
    <n v="580.20000000000005"/>
  </r>
  <r>
    <s v="ORD200585"/>
    <s v="C91486"/>
    <x v="2"/>
    <n v="4"/>
    <x v="585"/>
    <s v="907 Main St"/>
    <s v="Cash"/>
    <x v="2"/>
    <s v="Google"/>
    <n v="268.32"/>
  </r>
  <r>
    <s v="ORD200586"/>
    <s v="C17389"/>
    <x v="0"/>
    <n v="1"/>
    <x v="586"/>
    <s v="905 Main St"/>
    <s v="Gift Card"/>
    <x v="3"/>
    <s v="Referral"/>
    <n v="522.08000000000004"/>
  </r>
  <r>
    <s v="ORD200587"/>
    <s v="C18820"/>
    <x v="0"/>
    <n v="5"/>
    <x v="587"/>
    <s v="347 Main St"/>
    <s v="Gift Card"/>
    <x v="8"/>
    <s v="Instagram"/>
    <n v="2573"/>
  </r>
  <r>
    <s v="ORD200588"/>
    <s v="C61849"/>
    <x v="0"/>
    <n v="4"/>
    <x v="588"/>
    <s v="811 Main St"/>
    <s v="Credit Card"/>
    <x v="6"/>
    <s v="Google"/>
    <n v="2311.2800000000002"/>
  </r>
  <r>
    <s v="ORD200589"/>
    <s v="C84041"/>
    <x v="5"/>
    <n v="2"/>
    <x v="589"/>
    <s v="900 Main St"/>
    <s v="Cash"/>
    <x v="1"/>
    <s v="Referral"/>
    <n v="1001.6"/>
  </r>
  <r>
    <s v="ORD200590"/>
    <s v="C55757"/>
    <x v="4"/>
    <n v="2"/>
    <x v="590"/>
    <s v="175 Main St"/>
    <s v="Gift Card"/>
    <x v="4"/>
    <s v="Email"/>
    <n v="922.26"/>
  </r>
  <r>
    <s v="ORD200591"/>
    <s v="C18187"/>
    <x v="5"/>
    <n v="1"/>
    <x v="591"/>
    <s v="470 Main St"/>
    <s v="Gift Card"/>
    <x v="1"/>
    <s v="Referral"/>
    <n v="605.28"/>
  </r>
  <r>
    <s v="ORD200592"/>
    <s v="C42306"/>
    <x v="1"/>
    <n v="3"/>
    <x v="592"/>
    <s v="938 Main St"/>
    <s v="Online"/>
    <x v="4"/>
    <s v="Google"/>
    <n v="612.81000000000006"/>
  </r>
  <r>
    <s v="ORD200593"/>
    <s v="C51024"/>
    <x v="0"/>
    <n v="1"/>
    <x v="593"/>
    <s v="636 Main St"/>
    <s v="Gift Card"/>
    <x v="4"/>
    <s v="Facebook"/>
    <n v="489.8"/>
  </r>
  <r>
    <s v="ORD200594"/>
    <s v="C40140"/>
    <x v="1"/>
    <n v="5"/>
    <x v="594"/>
    <s v="598 Main St"/>
    <s v="Credit Card"/>
    <x v="0"/>
    <s v="Email"/>
    <n v="363.2"/>
  </r>
  <r>
    <s v="ORD200595"/>
    <s v="C72596"/>
    <x v="4"/>
    <n v="2"/>
    <x v="595"/>
    <s v="491 Main St"/>
    <s v="Online"/>
    <x v="0"/>
    <s v="Email"/>
    <n v="770.32"/>
  </r>
  <r>
    <s v="ORD200596"/>
    <s v="C91805"/>
    <x v="6"/>
    <n v="3"/>
    <x v="596"/>
    <s v="653 Main St"/>
    <s v="Debit Card"/>
    <x v="0"/>
    <s v="Facebook"/>
    <n v="1819.23"/>
  </r>
  <r>
    <s v="ORD200597"/>
    <s v="C40538"/>
    <x v="6"/>
    <n v="2"/>
    <x v="597"/>
    <s v="700 Main St"/>
    <s v="Gift Card"/>
    <x v="4"/>
    <s v="Email"/>
    <n v="423.64"/>
  </r>
  <r>
    <s v="ORD200598"/>
    <s v="C60329"/>
    <x v="6"/>
    <n v="5"/>
    <x v="598"/>
    <s v="826 Main St"/>
    <s v="Credit Card"/>
    <x v="3"/>
    <s v="Facebook"/>
    <n v="2476.75"/>
  </r>
  <r>
    <s v="ORD200599"/>
    <s v="C28740"/>
    <x v="3"/>
    <n v="3"/>
    <x v="599"/>
    <s v="123 Main St"/>
    <s v="Online"/>
    <x v="4"/>
    <s v="Facebook"/>
    <n v="1670.97"/>
  </r>
  <r>
    <s v="ORD200600"/>
    <s v="C87051"/>
    <x v="4"/>
    <n v="1"/>
    <x v="600"/>
    <s v="460 Main St"/>
    <s v="Gift Card"/>
    <x v="9"/>
    <s v="Facebook"/>
    <n v="72.31"/>
  </r>
  <r>
    <s v="ORD200601"/>
    <s v="C12479"/>
    <x v="0"/>
    <n v="5"/>
    <x v="601"/>
    <s v="529 Main St"/>
    <s v="Credit Card"/>
    <x v="8"/>
    <s v="Referral"/>
    <n v="124.1"/>
  </r>
  <r>
    <s v="ORD200602"/>
    <s v="C35852"/>
    <x v="2"/>
    <n v="4"/>
    <x v="602"/>
    <s v="982 Main St"/>
    <s v="Online"/>
    <x v="3"/>
    <s v="Instagram"/>
    <n v="104.16"/>
  </r>
  <r>
    <s v="ORD200603"/>
    <s v="C26223"/>
    <x v="2"/>
    <n v="1"/>
    <x v="603"/>
    <s v="800 Main St"/>
    <s v="Cash"/>
    <x v="4"/>
    <s v="Google"/>
    <n v="657.07"/>
  </r>
  <r>
    <s v="ORD200604"/>
    <s v="C99214"/>
    <x v="3"/>
    <n v="3"/>
    <x v="604"/>
    <s v="252 Main St"/>
    <s v="Debit Card"/>
    <x v="5"/>
    <s v="Facebook"/>
    <n v="97.859999999999985"/>
  </r>
  <r>
    <s v="ORD200605"/>
    <s v="C49605"/>
    <x v="0"/>
    <n v="2"/>
    <x v="550"/>
    <s v="892 Main St"/>
    <s v="Debit Card"/>
    <x v="4"/>
    <s v="Referral"/>
    <n v="457.82"/>
  </r>
  <r>
    <s v="ORD200606"/>
    <s v="C85018"/>
    <x v="5"/>
    <n v="3"/>
    <x v="605"/>
    <s v="783 Main St"/>
    <s v="Cash"/>
    <x v="1"/>
    <s v="Google"/>
    <n v="824.25"/>
  </r>
  <r>
    <s v="ORD200607"/>
    <s v="C96434"/>
    <x v="4"/>
    <n v="4"/>
    <x v="606"/>
    <s v="282 Main St"/>
    <s v="Cash"/>
    <x v="5"/>
    <s v="Google"/>
    <n v="2536.1999999999998"/>
  </r>
  <r>
    <s v="ORD200608"/>
    <s v="C32956"/>
    <x v="5"/>
    <n v="5"/>
    <x v="607"/>
    <s v="788 Main St"/>
    <s v="Online"/>
    <x v="5"/>
    <s v="Instagram"/>
    <n v="2715.8"/>
  </r>
  <r>
    <s v="ORD200609"/>
    <s v="C41137"/>
    <x v="3"/>
    <n v="3"/>
    <x v="608"/>
    <s v="809 Main St"/>
    <s v="Cash"/>
    <x v="3"/>
    <s v="Referral"/>
    <n v="1347.39"/>
  </r>
  <r>
    <s v="ORD200610"/>
    <s v="C60361"/>
    <x v="6"/>
    <n v="5"/>
    <x v="609"/>
    <s v="623 Main St"/>
    <s v="Cash"/>
    <x v="0"/>
    <s v="Facebook"/>
    <n v="1948.1"/>
  </r>
  <r>
    <s v="ORD200611"/>
    <s v="C36688"/>
    <x v="6"/>
    <n v="1"/>
    <x v="610"/>
    <s v="700 Main St"/>
    <s v="Gift Card"/>
    <x v="1"/>
    <s v="Referral"/>
    <n v="305.17"/>
  </r>
  <r>
    <s v="ORD200612"/>
    <s v="C51811"/>
    <x v="3"/>
    <n v="3"/>
    <x v="611"/>
    <s v="339 Main St"/>
    <s v="Gift Card"/>
    <x v="2"/>
    <s v="Google"/>
    <n v="1335.36"/>
  </r>
  <r>
    <s v="ORD200613"/>
    <s v="C62405"/>
    <x v="5"/>
    <n v="2"/>
    <x v="612"/>
    <s v="154 Main St"/>
    <s v="Online"/>
    <x v="4"/>
    <s v="Email"/>
    <n v="460.72"/>
  </r>
  <r>
    <s v="ORD200614"/>
    <s v="C77363"/>
    <x v="1"/>
    <n v="1"/>
    <x v="613"/>
    <s v="807 Main St"/>
    <s v="Gift Card"/>
    <x v="1"/>
    <s v="Referral"/>
    <n v="96.81"/>
  </r>
  <r>
    <s v="ORD200615"/>
    <s v="C97218"/>
    <x v="0"/>
    <n v="5"/>
    <x v="614"/>
    <s v="252 Main St"/>
    <s v="Credit Card"/>
    <x v="8"/>
    <s v="Facebook"/>
    <n v="2300.6999999999998"/>
  </r>
  <r>
    <s v="ORD200616"/>
    <s v="C43919"/>
    <x v="2"/>
    <n v="3"/>
    <x v="615"/>
    <s v="984 Main St"/>
    <s v="Credit Card"/>
    <x v="0"/>
    <s v="Facebook"/>
    <n v="1804.8"/>
  </r>
  <r>
    <s v="ORD200617"/>
    <s v="C57093"/>
    <x v="2"/>
    <n v="3"/>
    <x v="616"/>
    <s v="834 Main St"/>
    <s v="Online"/>
    <x v="4"/>
    <s v="Referral"/>
    <n v="553.41"/>
  </r>
  <r>
    <s v="ORD200618"/>
    <s v="C50565"/>
    <x v="2"/>
    <n v="1"/>
    <x v="617"/>
    <s v="399 Main St"/>
    <s v="Debit Card"/>
    <x v="3"/>
    <s v="Instagram"/>
    <n v="411.34"/>
  </r>
  <r>
    <s v="ORD200619"/>
    <s v="C38845"/>
    <x v="5"/>
    <n v="1"/>
    <x v="618"/>
    <s v="764 Main St"/>
    <s v="Gift Card"/>
    <x v="7"/>
    <s v="Referral"/>
    <n v="532.89"/>
  </r>
  <r>
    <s v="ORD200620"/>
    <s v="C84834"/>
    <x v="2"/>
    <n v="3"/>
    <x v="619"/>
    <s v="866 Main St"/>
    <s v="Debit Card"/>
    <x v="2"/>
    <s v="Referral"/>
    <n v="409.02"/>
  </r>
  <r>
    <s v="ORD200621"/>
    <s v="C37455"/>
    <x v="1"/>
    <n v="5"/>
    <x v="620"/>
    <s v="146 Main St"/>
    <s v="Credit Card"/>
    <x v="0"/>
    <s v="Google"/>
    <n v="2380.0500000000002"/>
  </r>
  <r>
    <s v="ORD200622"/>
    <s v="C27078"/>
    <x v="6"/>
    <n v="5"/>
    <x v="621"/>
    <s v="128 Main St"/>
    <s v="Credit Card"/>
    <x v="0"/>
    <s v="Facebook"/>
    <n v="1181.9000000000001"/>
  </r>
  <r>
    <s v="ORD200623"/>
    <s v="C91941"/>
    <x v="4"/>
    <n v="3"/>
    <x v="622"/>
    <s v="269 Main St"/>
    <s v="Gift Card"/>
    <x v="4"/>
    <s v="Instagram"/>
    <n v="1188"/>
  </r>
  <r>
    <s v="ORD200624"/>
    <s v="C25967"/>
    <x v="2"/>
    <n v="5"/>
    <x v="623"/>
    <s v="747 Main St"/>
    <s v="Debit Card"/>
    <x v="5"/>
    <s v="Email"/>
    <n v="1709.8"/>
  </r>
  <r>
    <s v="ORD200625"/>
    <s v="C22123"/>
    <x v="2"/>
    <n v="1"/>
    <x v="624"/>
    <s v="519 Main St"/>
    <s v="Credit Card"/>
    <x v="9"/>
    <s v="Email"/>
    <n v="672.89"/>
  </r>
  <r>
    <s v="ORD200626"/>
    <s v="C45671"/>
    <x v="2"/>
    <n v="2"/>
    <x v="625"/>
    <s v="769 Main St"/>
    <s v="Online"/>
    <x v="3"/>
    <s v="Referral"/>
    <n v="1314.96"/>
  </r>
  <r>
    <s v="ORD200627"/>
    <s v="C53334"/>
    <x v="3"/>
    <n v="3"/>
    <x v="626"/>
    <s v="879 Main St"/>
    <s v="Online"/>
    <x v="4"/>
    <s v="Email"/>
    <n v="1496.04"/>
  </r>
  <r>
    <s v="ORD200628"/>
    <s v="C18717"/>
    <x v="4"/>
    <n v="5"/>
    <x v="627"/>
    <s v="861 Main St"/>
    <s v="Cash"/>
    <x v="2"/>
    <s v="Referral"/>
    <n v="2793.15"/>
  </r>
  <r>
    <s v="ORD200629"/>
    <s v="C50137"/>
    <x v="1"/>
    <n v="3"/>
    <x v="628"/>
    <s v="840 Main St"/>
    <s v="Online"/>
    <x v="1"/>
    <s v="Referral"/>
    <n v="59.19"/>
  </r>
  <r>
    <s v="ORD200630"/>
    <s v="C51481"/>
    <x v="0"/>
    <n v="5"/>
    <x v="629"/>
    <s v="140 Main St"/>
    <s v="Debit Card"/>
    <x v="8"/>
    <s v="Instagram"/>
    <n v="1244.2"/>
  </r>
  <r>
    <s v="ORD200631"/>
    <s v="C99128"/>
    <x v="3"/>
    <n v="3"/>
    <x v="630"/>
    <s v="360 Main St"/>
    <s v="Gift Card"/>
    <x v="3"/>
    <s v="Referral"/>
    <n v="138.33000000000001"/>
  </r>
  <r>
    <s v="ORD200632"/>
    <s v="C67260"/>
    <x v="5"/>
    <n v="5"/>
    <x v="631"/>
    <s v="463 Main St"/>
    <s v="Gift Card"/>
    <x v="0"/>
    <s v="Facebook"/>
    <n v="3390.8"/>
  </r>
  <r>
    <s v="ORD200633"/>
    <s v="C79533"/>
    <x v="5"/>
    <n v="5"/>
    <x v="632"/>
    <s v="921 Main St"/>
    <s v="Gift Card"/>
    <x v="3"/>
    <s v="Instagram"/>
    <n v="3008.6"/>
  </r>
  <r>
    <s v="ORD200634"/>
    <s v="C66906"/>
    <x v="4"/>
    <n v="2"/>
    <x v="633"/>
    <s v="117 Main St"/>
    <s v="Gift Card"/>
    <x v="7"/>
    <s v="Referral"/>
    <n v="518.64"/>
  </r>
  <r>
    <s v="ORD200635"/>
    <s v="C12818"/>
    <x v="3"/>
    <n v="3"/>
    <x v="634"/>
    <s v="434 Main St"/>
    <s v="Cash"/>
    <x v="5"/>
    <s v="Facebook"/>
    <n v="191.04"/>
  </r>
  <r>
    <s v="ORD200636"/>
    <s v="C60384"/>
    <x v="5"/>
    <n v="4"/>
    <x v="635"/>
    <s v="336 Main St"/>
    <s v="Cash"/>
    <x v="0"/>
    <s v="Facebook"/>
    <n v="1484.28"/>
  </r>
  <r>
    <s v="ORD200637"/>
    <s v="C92294"/>
    <x v="3"/>
    <n v="4"/>
    <x v="636"/>
    <s v="784 Main St"/>
    <s v="Gift Card"/>
    <x v="0"/>
    <s v="Referral"/>
    <n v="1225.4000000000001"/>
  </r>
  <r>
    <s v="ORD200638"/>
    <s v="C66840"/>
    <x v="2"/>
    <n v="4"/>
    <x v="637"/>
    <s v="547 Main St"/>
    <s v="Online"/>
    <x v="6"/>
    <s v="Email"/>
    <n v="2313.08"/>
  </r>
  <r>
    <s v="ORD200639"/>
    <s v="C22534"/>
    <x v="3"/>
    <n v="1"/>
    <x v="638"/>
    <s v="391 Main St"/>
    <s v="Cash"/>
    <x v="3"/>
    <s v="Referral"/>
    <n v="529.19000000000005"/>
  </r>
  <r>
    <s v="ORD200640"/>
    <s v="C46509"/>
    <x v="3"/>
    <n v="2"/>
    <x v="639"/>
    <s v="647 Main St"/>
    <s v="Gift Card"/>
    <x v="5"/>
    <s v="Referral"/>
    <n v="1174.98"/>
  </r>
  <r>
    <s v="ORD200641"/>
    <s v="C71680"/>
    <x v="4"/>
    <n v="4"/>
    <x v="640"/>
    <s v="814 Main St"/>
    <s v="Debit Card"/>
    <x v="6"/>
    <s v="Google"/>
    <n v="2270.2800000000002"/>
  </r>
  <r>
    <s v="ORD200642"/>
    <s v="C15063"/>
    <x v="3"/>
    <n v="5"/>
    <x v="641"/>
    <s v="527 Main St"/>
    <s v="Credit Card"/>
    <x v="0"/>
    <s v="Email"/>
    <n v="426.1"/>
  </r>
  <r>
    <s v="ORD200643"/>
    <s v="C77122"/>
    <x v="5"/>
    <n v="1"/>
    <x v="642"/>
    <s v="647 Main St"/>
    <s v="Cash"/>
    <x v="4"/>
    <s v="Referral"/>
    <n v="438.37"/>
  </r>
  <r>
    <s v="ORD200644"/>
    <s v="C86524"/>
    <x v="3"/>
    <n v="2"/>
    <x v="643"/>
    <s v="961 Main St"/>
    <s v="Cash"/>
    <x v="7"/>
    <s v="Email"/>
    <n v="732.46"/>
  </r>
  <r>
    <s v="ORD200645"/>
    <s v="C82990"/>
    <x v="5"/>
    <n v="2"/>
    <x v="644"/>
    <s v="727 Main St"/>
    <s v="Credit Card"/>
    <x v="4"/>
    <s v="Facebook"/>
    <n v="300.10000000000002"/>
  </r>
  <r>
    <s v="ORD200646"/>
    <s v="C98761"/>
    <x v="3"/>
    <n v="4"/>
    <x v="645"/>
    <s v="804 Main St"/>
    <s v="Debit Card"/>
    <x v="4"/>
    <s v="Google"/>
    <n v="1994.04"/>
  </r>
  <r>
    <s v="ORD200647"/>
    <s v="C54409"/>
    <x v="6"/>
    <n v="3"/>
    <x v="646"/>
    <s v="667 Main St"/>
    <s v="Cash"/>
    <x v="0"/>
    <s v="Google"/>
    <n v="1018.17"/>
  </r>
  <r>
    <s v="ORD200648"/>
    <s v="C89674"/>
    <x v="0"/>
    <n v="2"/>
    <x v="647"/>
    <s v="182 Main St"/>
    <s v="Online"/>
    <x v="1"/>
    <s v="Referral"/>
    <n v="1151.6600000000001"/>
  </r>
  <r>
    <s v="ORD200649"/>
    <s v="C45899"/>
    <x v="0"/>
    <n v="2"/>
    <x v="648"/>
    <s v="153 Main St"/>
    <s v="Debit Card"/>
    <x v="0"/>
    <s v="Email"/>
    <n v="1285.96"/>
  </r>
  <r>
    <s v="ORD200650"/>
    <s v="C74499"/>
    <x v="6"/>
    <n v="2"/>
    <x v="649"/>
    <s v="518 Main St"/>
    <s v="Gift Card"/>
    <x v="0"/>
    <s v="Email"/>
    <n v="744.46"/>
  </r>
  <r>
    <s v="ORD200651"/>
    <s v="C81192"/>
    <x v="3"/>
    <n v="3"/>
    <x v="650"/>
    <s v="429 Main St"/>
    <s v="Debit Card"/>
    <x v="3"/>
    <s v="Google"/>
    <n v="1939.02"/>
  </r>
  <r>
    <s v="ORD200652"/>
    <s v="C71473"/>
    <x v="3"/>
    <n v="5"/>
    <x v="651"/>
    <s v="328 Main St"/>
    <s v="Online"/>
    <x v="2"/>
    <s v="Instagram"/>
    <n v="1709.2"/>
  </r>
  <r>
    <s v="ORD200653"/>
    <s v="C59338"/>
    <x v="4"/>
    <n v="3"/>
    <x v="652"/>
    <s v="747 Main St"/>
    <s v="Credit Card"/>
    <x v="5"/>
    <s v="Google"/>
    <n v="2070.9"/>
  </r>
  <r>
    <s v="ORD200654"/>
    <s v="C62661"/>
    <x v="2"/>
    <n v="3"/>
    <x v="653"/>
    <s v="863 Main St"/>
    <s v="Debit Card"/>
    <x v="2"/>
    <s v="Instagram"/>
    <n v="1147.1099999999999"/>
  </r>
  <r>
    <s v="ORD200655"/>
    <s v="C22101"/>
    <x v="3"/>
    <n v="2"/>
    <x v="654"/>
    <s v="262 Main St"/>
    <s v="Debit Card"/>
    <x v="4"/>
    <s v="Email"/>
    <n v="265.2"/>
  </r>
  <r>
    <s v="ORD200656"/>
    <s v="C51404"/>
    <x v="0"/>
    <n v="2"/>
    <x v="655"/>
    <s v="835 Main St"/>
    <s v="Gift Card"/>
    <x v="0"/>
    <s v="Facebook"/>
    <n v="378.12"/>
  </r>
  <r>
    <s v="ORD200657"/>
    <s v="C19384"/>
    <x v="2"/>
    <n v="4"/>
    <x v="656"/>
    <s v="532 Main St"/>
    <s v="Cash"/>
    <x v="5"/>
    <s v="Instagram"/>
    <n v="351.16"/>
  </r>
  <r>
    <s v="ORD200658"/>
    <s v="C86864"/>
    <x v="4"/>
    <n v="2"/>
    <x v="657"/>
    <s v="670 Main St"/>
    <s v="Gift Card"/>
    <x v="4"/>
    <s v="Google"/>
    <n v="92.72"/>
  </r>
  <r>
    <s v="ORD200659"/>
    <s v="C24301"/>
    <x v="1"/>
    <n v="2"/>
    <x v="658"/>
    <s v="964 Main St"/>
    <s v="Gift Card"/>
    <x v="4"/>
    <s v="Email"/>
    <n v="1284.08"/>
  </r>
  <r>
    <s v="ORD200660"/>
    <s v="C43842"/>
    <x v="3"/>
    <n v="2"/>
    <x v="659"/>
    <s v="933 Main St"/>
    <s v="Debit Card"/>
    <x v="0"/>
    <s v="Facebook"/>
    <n v="1303.1400000000001"/>
  </r>
  <r>
    <s v="ORD200661"/>
    <s v="C63657"/>
    <x v="2"/>
    <n v="3"/>
    <x v="660"/>
    <s v="116 Main St"/>
    <s v="Debit Card"/>
    <x v="5"/>
    <s v="Google"/>
    <n v="1274.67"/>
  </r>
  <r>
    <s v="ORD200662"/>
    <s v="C98332"/>
    <x v="5"/>
    <n v="3"/>
    <x v="661"/>
    <s v="985 Main St"/>
    <s v="Cash"/>
    <x v="1"/>
    <s v="Facebook"/>
    <n v="1316.67"/>
  </r>
  <r>
    <s v="ORD200663"/>
    <s v="C59774"/>
    <x v="0"/>
    <n v="1"/>
    <x v="662"/>
    <s v="941 Main St"/>
    <s v="Debit Card"/>
    <x v="5"/>
    <s v="Instagram"/>
    <n v="72.599999999999994"/>
  </r>
  <r>
    <s v="ORD200664"/>
    <s v="C14847"/>
    <x v="5"/>
    <n v="4"/>
    <x v="663"/>
    <s v="188 Main St"/>
    <s v="Cash"/>
    <x v="3"/>
    <s v="Facebook"/>
    <n v="779"/>
  </r>
  <r>
    <s v="ORD200665"/>
    <s v="C83653"/>
    <x v="2"/>
    <n v="4"/>
    <x v="664"/>
    <s v="253 Main St"/>
    <s v="Online"/>
    <x v="5"/>
    <s v="Google"/>
    <n v="925.04"/>
  </r>
  <r>
    <s v="ORD200666"/>
    <s v="C35711"/>
    <x v="0"/>
    <n v="4"/>
    <x v="665"/>
    <s v="788 Main St"/>
    <s v="Credit Card"/>
    <x v="4"/>
    <s v="Email"/>
    <n v="1308.48"/>
  </r>
  <r>
    <s v="ORD200667"/>
    <s v="C10477"/>
    <x v="5"/>
    <n v="1"/>
    <x v="342"/>
    <s v="172 Main St"/>
    <s v="Gift Card"/>
    <x v="3"/>
    <s v="Email"/>
    <n v="466.42"/>
  </r>
  <r>
    <s v="ORD200668"/>
    <s v="C61257"/>
    <x v="0"/>
    <n v="2"/>
    <x v="666"/>
    <s v="981 Main St"/>
    <s v="Cash"/>
    <x v="1"/>
    <s v="Facebook"/>
    <n v="507.34"/>
  </r>
  <r>
    <s v="ORD200669"/>
    <s v="C60547"/>
    <x v="6"/>
    <n v="1"/>
    <x v="667"/>
    <s v="812 Main St"/>
    <s v="Debit Card"/>
    <x v="3"/>
    <s v="Referral"/>
    <n v="257"/>
  </r>
  <r>
    <s v="ORD200670"/>
    <s v="C14576"/>
    <x v="6"/>
    <n v="4"/>
    <x v="668"/>
    <s v="747 Main St"/>
    <s v="Credit Card"/>
    <x v="2"/>
    <s v="Google"/>
    <n v="2156.8000000000002"/>
  </r>
  <r>
    <s v="ORD200671"/>
    <s v="C49282"/>
    <x v="3"/>
    <n v="5"/>
    <x v="669"/>
    <s v="737 Main St"/>
    <s v="Gift Card"/>
    <x v="0"/>
    <s v="Google"/>
    <n v="253.7"/>
  </r>
  <r>
    <s v="ORD200672"/>
    <s v="C14017"/>
    <x v="1"/>
    <n v="2"/>
    <x v="670"/>
    <s v="984 Main St"/>
    <s v="Debit Card"/>
    <x v="7"/>
    <s v="Instagram"/>
    <n v="1248.32"/>
  </r>
  <r>
    <s v="ORD200673"/>
    <s v="C46504"/>
    <x v="2"/>
    <n v="2"/>
    <x v="671"/>
    <s v="131 Main St"/>
    <s v="Credit Card"/>
    <x v="0"/>
    <s v="Email"/>
    <n v="745.84"/>
  </r>
  <r>
    <s v="ORD200674"/>
    <s v="C56928"/>
    <x v="5"/>
    <n v="4"/>
    <x v="672"/>
    <s v="860 Main St"/>
    <s v="Gift Card"/>
    <x v="6"/>
    <s v="Facebook"/>
    <n v="1435"/>
  </r>
  <r>
    <s v="ORD200675"/>
    <s v="C97749"/>
    <x v="6"/>
    <n v="3"/>
    <x v="673"/>
    <s v="906 Main St"/>
    <s v="Debit Card"/>
    <x v="3"/>
    <s v="Email"/>
    <n v="1026.06"/>
  </r>
  <r>
    <s v="ORD200676"/>
    <s v="C90431"/>
    <x v="5"/>
    <n v="2"/>
    <x v="674"/>
    <s v="985 Main St"/>
    <s v="Credit Card"/>
    <x v="4"/>
    <s v="Instagram"/>
    <n v="844.68"/>
  </r>
  <r>
    <s v="ORD200677"/>
    <s v="C56722"/>
    <x v="2"/>
    <n v="5"/>
    <x v="675"/>
    <s v="179 Main St"/>
    <s v="Online"/>
    <x v="0"/>
    <s v="Instagram"/>
    <n v="110.35"/>
  </r>
  <r>
    <s v="ORD200678"/>
    <s v="C40863"/>
    <x v="3"/>
    <n v="3"/>
    <x v="676"/>
    <s v="457 Main St"/>
    <s v="Gift Card"/>
    <x v="3"/>
    <s v="Facebook"/>
    <n v="489.39"/>
  </r>
  <r>
    <s v="ORD200679"/>
    <s v="C40798"/>
    <x v="2"/>
    <n v="3"/>
    <x v="677"/>
    <s v="304 Main St"/>
    <s v="Online"/>
    <x v="3"/>
    <s v="Instagram"/>
    <n v="1081.98"/>
  </r>
  <r>
    <s v="ORD200680"/>
    <s v="C16702"/>
    <x v="0"/>
    <n v="3"/>
    <x v="678"/>
    <s v="694 Main St"/>
    <s v="Credit Card"/>
    <x v="1"/>
    <s v="Facebook"/>
    <n v="1390.17"/>
  </r>
  <r>
    <s v="ORD200681"/>
    <s v="C38262"/>
    <x v="2"/>
    <n v="1"/>
    <x v="679"/>
    <s v="548 Main St"/>
    <s v="Debit Card"/>
    <x v="5"/>
    <s v="Email"/>
    <n v="155.27000000000001"/>
  </r>
  <r>
    <s v="ORD200682"/>
    <s v="C50274"/>
    <x v="0"/>
    <n v="3"/>
    <x v="680"/>
    <s v="449 Main St"/>
    <s v="Credit Card"/>
    <x v="3"/>
    <s v="Google"/>
    <n v="1528.26"/>
  </r>
  <r>
    <s v="ORD200683"/>
    <s v="C91591"/>
    <x v="6"/>
    <n v="4"/>
    <x v="681"/>
    <s v="887 Main St"/>
    <s v="Cash"/>
    <x v="3"/>
    <s v="Instagram"/>
    <n v="2609.92"/>
  </r>
  <r>
    <s v="ORD200684"/>
    <s v="C96583"/>
    <x v="4"/>
    <n v="4"/>
    <x v="682"/>
    <s v="288 Main St"/>
    <s v="Credit Card"/>
    <x v="2"/>
    <s v="Email"/>
    <n v="139.36000000000001"/>
  </r>
  <r>
    <s v="ORD200685"/>
    <s v="C64579"/>
    <x v="6"/>
    <n v="1"/>
    <x v="683"/>
    <s v="638 Main St"/>
    <s v="Debit Card"/>
    <x v="3"/>
    <s v="Email"/>
    <n v="234.37"/>
  </r>
  <r>
    <s v="ORD200686"/>
    <s v="C41903"/>
    <x v="6"/>
    <n v="3"/>
    <x v="684"/>
    <s v="525 Main St"/>
    <s v="Cash"/>
    <x v="4"/>
    <s v="Facebook"/>
    <n v="160.80000000000001"/>
  </r>
  <r>
    <s v="ORD200687"/>
    <s v="C19742"/>
    <x v="2"/>
    <n v="1"/>
    <x v="685"/>
    <s v="408 Main St"/>
    <s v="Gift Card"/>
    <x v="3"/>
    <s v="Instagram"/>
    <n v="332.09"/>
  </r>
  <r>
    <s v="ORD200688"/>
    <s v="C20077"/>
    <x v="0"/>
    <n v="4"/>
    <x v="686"/>
    <s v="154 Main St"/>
    <s v="Credit Card"/>
    <x v="2"/>
    <s v="Facebook"/>
    <n v="2372.88"/>
  </r>
  <r>
    <s v="ORD200689"/>
    <s v="C13186"/>
    <x v="2"/>
    <n v="2"/>
    <x v="687"/>
    <s v="787 Main St"/>
    <s v="Online"/>
    <x v="0"/>
    <s v="Facebook"/>
    <n v="889.68"/>
  </r>
  <r>
    <s v="ORD200690"/>
    <s v="C29318"/>
    <x v="0"/>
    <n v="1"/>
    <x v="688"/>
    <s v="128 Main St"/>
    <s v="Gift Card"/>
    <x v="9"/>
    <s v="Instagram"/>
    <n v="24.48"/>
  </r>
  <r>
    <s v="ORD200691"/>
    <s v="C36137"/>
    <x v="5"/>
    <n v="3"/>
    <x v="689"/>
    <s v="396 Main St"/>
    <s v="Cash"/>
    <x v="2"/>
    <s v="Google"/>
    <n v="717.24"/>
  </r>
  <r>
    <s v="ORD200692"/>
    <s v="C25534"/>
    <x v="6"/>
    <n v="5"/>
    <x v="690"/>
    <s v="319 Main St"/>
    <s v="Credit Card"/>
    <x v="3"/>
    <s v="Instagram"/>
    <n v="984.2"/>
  </r>
  <r>
    <s v="ORD200693"/>
    <s v="C62070"/>
    <x v="0"/>
    <n v="1"/>
    <x v="691"/>
    <s v="674 Main St"/>
    <s v="Debit Card"/>
    <x v="4"/>
    <s v="Referral"/>
    <n v="176.58"/>
  </r>
  <r>
    <s v="ORD200694"/>
    <s v="C92049"/>
    <x v="4"/>
    <n v="4"/>
    <x v="692"/>
    <s v="619 Main St"/>
    <s v="Cash"/>
    <x v="2"/>
    <s v="Email"/>
    <n v="2666.08"/>
  </r>
  <r>
    <s v="ORD200695"/>
    <s v="C52604"/>
    <x v="4"/>
    <n v="5"/>
    <x v="693"/>
    <s v="553 Main St"/>
    <s v="Online"/>
    <x v="0"/>
    <s v="Email"/>
    <n v="506.5"/>
  </r>
  <r>
    <s v="ORD200696"/>
    <s v="C22429"/>
    <x v="3"/>
    <n v="4"/>
    <x v="694"/>
    <s v="965 Main St"/>
    <s v="Gift Card"/>
    <x v="6"/>
    <s v="Facebook"/>
    <n v="604.79999999999995"/>
  </r>
  <r>
    <s v="ORD200697"/>
    <s v="C27430"/>
    <x v="4"/>
    <n v="5"/>
    <x v="695"/>
    <s v="788 Main St"/>
    <s v="Cash"/>
    <x v="5"/>
    <s v="Email"/>
    <n v="474.25"/>
  </r>
  <r>
    <s v="ORD200698"/>
    <s v="C44366"/>
    <x v="5"/>
    <n v="2"/>
    <x v="696"/>
    <s v="169 Main St"/>
    <s v="Cash"/>
    <x v="7"/>
    <s v="Instagram"/>
    <n v="776.44"/>
  </r>
  <r>
    <s v="ORD200699"/>
    <s v="C36813"/>
    <x v="5"/>
    <n v="3"/>
    <x v="697"/>
    <s v="897 Main St"/>
    <s v="Gift Card"/>
    <x v="1"/>
    <s v="Facebook"/>
    <n v="1842.45"/>
  </r>
  <r>
    <s v="ORD200700"/>
    <s v="C40201"/>
    <x v="5"/>
    <n v="2"/>
    <x v="698"/>
    <s v="555 Main St"/>
    <s v="Cash"/>
    <x v="1"/>
    <s v="Instagram"/>
    <n v="185.82"/>
  </r>
  <r>
    <s v="ORD200701"/>
    <s v="C75456"/>
    <x v="0"/>
    <n v="3"/>
    <x v="699"/>
    <s v="115 Main St"/>
    <s v="Credit Card"/>
    <x v="3"/>
    <s v="Email"/>
    <n v="276.66000000000003"/>
  </r>
  <r>
    <s v="ORD200702"/>
    <s v="C33315"/>
    <x v="4"/>
    <n v="3"/>
    <x v="700"/>
    <s v="154 Main St"/>
    <s v="Debit Card"/>
    <x v="5"/>
    <s v="Email"/>
    <n v="1687.65"/>
  </r>
  <r>
    <s v="ORD200703"/>
    <s v="C89336"/>
    <x v="6"/>
    <n v="1"/>
    <x v="701"/>
    <s v="799 Main St"/>
    <s v="Cash"/>
    <x v="1"/>
    <s v="Email"/>
    <n v="92.79"/>
  </r>
  <r>
    <s v="ORD200704"/>
    <s v="C96034"/>
    <x v="6"/>
    <n v="4"/>
    <x v="702"/>
    <s v="819 Main St"/>
    <s v="Online"/>
    <x v="6"/>
    <s v="Google"/>
    <n v="121.08"/>
  </r>
  <r>
    <s v="ORD200705"/>
    <s v="C50114"/>
    <x v="0"/>
    <n v="2"/>
    <x v="703"/>
    <s v="420 Main St"/>
    <s v="Debit Card"/>
    <x v="0"/>
    <s v="Instagram"/>
    <n v="98.16"/>
  </r>
  <r>
    <s v="ORD200706"/>
    <s v="C85330"/>
    <x v="6"/>
    <n v="5"/>
    <x v="704"/>
    <s v="969 Main St"/>
    <s v="Gift Card"/>
    <x v="6"/>
    <s v="Facebook"/>
    <n v="1140.45"/>
  </r>
  <r>
    <s v="ORD200707"/>
    <s v="C31761"/>
    <x v="3"/>
    <n v="4"/>
    <x v="705"/>
    <s v="989 Main St"/>
    <s v="Gift Card"/>
    <x v="5"/>
    <s v="Facebook"/>
    <n v="2600.16"/>
  </r>
  <r>
    <s v="ORD200708"/>
    <s v="C25268"/>
    <x v="4"/>
    <n v="1"/>
    <x v="706"/>
    <s v="788 Main St"/>
    <s v="Cash"/>
    <x v="1"/>
    <s v="Instagram"/>
    <n v="665.11"/>
  </r>
  <r>
    <s v="ORD200709"/>
    <s v="C17132"/>
    <x v="6"/>
    <n v="1"/>
    <x v="707"/>
    <s v="855 Main St"/>
    <s v="Online"/>
    <x v="4"/>
    <s v="Google"/>
    <n v="386.03"/>
  </r>
  <r>
    <s v="ORD200710"/>
    <s v="C48790"/>
    <x v="5"/>
    <n v="5"/>
    <x v="708"/>
    <s v="113 Main St"/>
    <s v="Gift Card"/>
    <x v="8"/>
    <s v="Google"/>
    <n v="107.7"/>
  </r>
  <r>
    <s v="ORD200711"/>
    <s v="C61070"/>
    <x v="2"/>
    <n v="2"/>
    <x v="709"/>
    <s v="632 Main St"/>
    <s v="Online"/>
    <x v="7"/>
    <s v="Google"/>
    <n v="951.56"/>
  </r>
  <r>
    <s v="ORD200712"/>
    <s v="C56969"/>
    <x v="2"/>
    <n v="2"/>
    <x v="710"/>
    <s v="993 Main St"/>
    <s v="Gift Card"/>
    <x v="0"/>
    <s v="Email"/>
    <n v="136.80000000000001"/>
  </r>
  <r>
    <s v="ORD200713"/>
    <s v="C65056"/>
    <x v="2"/>
    <n v="4"/>
    <x v="711"/>
    <s v="638 Main St"/>
    <s v="Online"/>
    <x v="5"/>
    <s v="Facebook"/>
    <n v="2129.96"/>
  </r>
  <r>
    <s v="ORD200714"/>
    <s v="C84888"/>
    <x v="5"/>
    <n v="1"/>
    <x v="712"/>
    <s v="278 Main St"/>
    <s v="Debit Card"/>
    <x v="9"/>
    <s v="Facebook"/>
    <n v="51.73"/>
  </r>
  <r>
    <s v="ORD200715"/>
    <s v="C68266"/>
    <x v="4"/>
    <n v="3"/>
    <x v="713"/>
    <s v="281 Main St"/>
    <s v="Online"/>
    <x v="0"/>
    <s v="Email"/>
    <n v="1960.89"/>
  </r>
  <r>
    <s v="ORD200716"/>
    <s v="C84115"/>
    <x v="3"/>
    <n v="3"/>
    <x v="714"/>
    <s v="891 Main St"/>
    <s v="Credit Card"/>
    <x v="4"/>
    <s v="Google"/>
    <n v="1362.87"/>
  </r>
  <r>
    <s v="ORD200717"/>
    <s v="C50087"/>
    <x v="3"/>
    <n v="3"/>
    <x v="715"/>
    <s v="707 Main St"/>
    <s v="Online"/>
    <x v="4"/>
    <s v="Email"/>
    <n v="366.33"/>
  </r>
  <r>
    <s v="ORD200718"/>
    <s v="C16790"/>
    <x v="5"/>
    <n v="4"/>
    <x v="716"/>
    <s v="718 Main St"/>
    <s v="Gift Card"/>
    <x v="2"/>
    <s v="Google"/>
    <n v="258.95999999999998"/>
  </r>
  <r>
    <s v="ORD200719"/>
    <s v="C46920"/>
    <x v="5"/>
    <n v="2"/>
    <x v="717"/>
    <s v="703 Main St"/>
    <s v="Debit Card"/>
    <x v="1"/>
    <s v="Facebook"/>
    <n v="1362.12"/>
  </r>
  <r>
    <s v="ORD200720"/>
    <s v="C12740"/>
    <x v="6"/>
    <n v="5"/>
    <x v="718"/>
    <s v="305 Main St"/>
    <s v="Cash"/>
    <x v="8"/>
    <s v="Instagram"/>
    <n v="644.75"/>
  </r>
  <r>
    <s v="ORD200721"/>
    <s v="C46557"/>
    <x v="6"/>
    <n v="2"/>
    <x v="719"/>
    <s v="890 Main St"/>
    <s v="Credit Card"/>
    <x v="7"/>
    <s v="Email"/>
    <n v="237.18"/>
  </r>
  <r>
    <s v="ORD200722"/>
    <s v="C58156"/>
    <x v="4"/>
    <n v="1"/>
    <x v="720"/>
    <s v="516 Main St"/>
    <s v="Gift Card"/>
    <x v="9"/>
    <s v="Instagram"/>
    <n v="95.1"/>
  </r>
  <r>
    <s v="ORD200723"/>
    <s v="C14455"/>
    <x v="6"/>
    <n v="3"/>
    <x v="721"/>
    <s v="385 Main St"/>
    <s v="Cash"/>
    <x v="2"/>
    <s v="Referral"/>
    <n v="164.85"/>
  </r>
  <r>
    <s v="ORD200724"/>
    <s v="C63150"/>
    <x v="4"/>
    <n v="3"/>
    <x v="722"/>
    <s v="326 Main St"/>
    <s v="Credit Card"/>
    <x v="4"/>
    <s v="Referral"/>
    <n v="410.91"/>
  </r>
  <r>
    <s v="ORD200725"/>
    <s v="C95269"/>
    <x v="3"/>
    <n v="2"/>
    <x v="723"/>
    <s v="372 Main St"/>
    <s v="Gift Card"/>
    <x v="3"/>
    <s v="Referral"/>
    <n v="389.7"/>
  </r>
  <r>
    <s v="ORD200726"/>
    <s v="C18105"/>
    <x v="5"/>
    <n v="4"/>
    <x v="724"/>
    <s v="338 Main St"/>
    <s v="Online"/>
    <x v="4"/>
    <s v="Facebook"/>
    <n v="2332.08"/>
  </r>
  <r>
    <s v="ORD200727"/>
    <s v="C29063"/>
    <x v="3"/>
    <n v="5"/>
    <x v="725"/>
    <s v="379 Main St"/>
    <s v="Online"/>
    <x v="2"/>
    <s v="Instagram"/>
    <n v="478.75"/>
  </r>
  <r>
    <s v="ORD200728"/>
    <s v="C10154"/>
    <x v="6"/>
    <n v="4"/>
    <x v="726"/>
    <s v="827 Main St"/>
    <s v="Gift Card"/>
    <x v="2"/>
    <s v="Email"/>
    <n v="1303.04"/>
  </r>
  <r>
    <s v="ORD200729"/>
    <s v="C36997"/>
    <x v="1"/>
    <n v="4"/>
    <x v="727"/>
    <s v="819 Main St"/>
    <s v="Gift Card"/>
    <x v="5"/>
    <s v="Google"/>
    <n v="745.64"/>
  </r>
  <r>
    <s v="ORD200730"/>
    <s v="C77357"/>
    <x v="1"/>
    <n v="1"/>
    <x v="728"/>
    <s v="407 Main St"/>
    <s v="Debit Card"/>
    <x v="4"/>
    <s v="Email"/>
    <n v="474.6"/>
  </r>
  <r>
    <s v="ORD200731"/>
    <s v="C71310"/>
    <x v="4"/>
    <n v="5"/>
    <x v="729"/>
    <s v="308 Main St"/>
    <s v="Credit Card"/>
    <x v="2"/>
    <s v="Email"/>
    <n v="2922.3"/>
  </r>
  <r>
    <s v="ORD200732"/>
    <s v="C80987"/>
    <x v="5"/>
    <n v="1"/>
    <x v="730"/>
    <s v="787 Main St"/>
    <s v="Online"/>
    <x v="7"/>
    <s v="Google"/>
    <n v="132.05000000000001"/>
  </r>
  <r>
    <s v="ORD200733"/>
    <s v="C90757"/>
    <x v="2"/>
    <n v="4"/>
    <x v="731"/>
    <s v="694 Main St"/>
    <s v="Cash"/>
    <x v="2"/>
    <s v="Email"/>
    <n v="1979.36"/>
  </r>
  <r>
    <s v="ORD200734"/>
    <s v="C51898"/>
    <x v="4"/>
    <n v="4"/>
    <x v="732"/>
    <s v="630 Main St"/>
    <s v="Credit Card"/>
    <x v="5"/>
    <s v="Facebook"/>
    <n v="898.44"/>
  </r>
  <r>
    <s v="ORD200735"/>
    <s v="C94508"/>
    <x v="0"/>
    <n v="4"/>
    <x v="733"/>
    <s v="359 Main St"/>
    <s v="Debit Card"/>
    <x v="5"/>
    <s v="Email"/>
    <n v="176.28"/>
  </r>
  <r>
    <s v="ORD200736"/>
    <s v="C59441"/>
    <x v="0"/>
    <n v="5"/>
    <x v="734"/>
    <s v="696 Main St"/>
    <s v="Credit Card"/>
    <x v="5"/>
    <s v="Google"/>
    <n v="2092.65"/>
  </r>
  <r>
    <s v="ORD200737"/>
    <s v="C91029"/>
    <x v="1"/>
    <n v="4"/>
    <x v="735"/>
    <s v="972 Main St"/>
    <s v="Cash"/>
    <x v="6"/>
    <s v="Instagram"/>
    <n v="2131.48"/>
  </r>
  <r>
    <s v="ORD200738"/>
    <s v="C96261"/>
    <x v="1"/>
    <n v="2"/>
    <x v="736"/>
    <s v="264 Main St"/>
    <s v="Credit Card"/>
    <x v="3"/>
    <s v="Email"/>
    <n v="970.74"/>
  </r>
  <r>
    <s v="ORD200739"/>
    <s v="C35123"/>
    <x v="1"/>
    <n v="4"/>
    <x v="737"/>
    <s v="513 Main St"/>
    <s v="Cash"/>
    <x v="4"/>
    <s v="Facebook"/>
    <n v="1546.92"/>
  </r>
  <r>
    <s v="ORD200740"/>
    <s v="C10892"/>
    <x v="6"/>
    <n v="2"/>
    <x v="738"/>
    <s v="433 Main St"/>
    <s v="Cash"/>
    <x v="0"/>
    <s v="Google"/>
    <n v="754.94"/>
  </r>
  <r>
    <s v="ORD200741"/>
    <s v="C99683"/>
    <x v="0"/>
    <n v="5"/>
    <x v="739"/>
    <s v="945 Main St"/>
    <s v="Gift Card"/>
    <x v="8"/>
    <s v="Referral"/>
    <n v="1663.2"/>
  </r>
  <r>
    <s v="ORD200742"/>
    <s v="C41974"/>
    <x v="5"/>
    <n v="3"/>
    <x v="740"/>
    <s v="726 Main St"/>
    <s v="Cash"/>
    <x v="0"/>
    <s v="Google"/>
    <n v="2099.79"/>
  </r>
  <r>
    <s v="ORD200743"/>
    <s v="C23978"/>
    <x v="0"/>
    <n v="1"/>
    <x v="741"/>
    <s v="549 Main St"/>
    <s v="Gift Card"/>
    <x v="9"/>
    <s v="Instagram"/>
    <n v="576.35"/>
  </r>
  <r>
    <s v="ORD200744"/>
    <s v="C10642"/>
    <x v="2"/>
    <n v="2"/>
    <x v="742"/>
    <s v="200 Main St"/>
    <s v="Cash"/>
    <x v="3"/>
    <s v="Google"/>
    <n v="922.74"/>
  </r>
  <r>
    <s v="ORD200745"/>
    <s v="C73813"/>
    <x v="4"/>
    <n v="4"/>
    <x v="743"/>
    <s v="364 Main St"/>
    <s v="Debit Card"/>
    <x v="0"/>
    <s v="Email"/>
    <n v="445.2"/>
  </r>
  <r>
    <s v="ORD200746"/>
    <s v="C32183"/>
    <x v="6"/>
    <n v="3"/>
    <x v="744"/>
    <s v="551 Main St"/>
    <s v="Online"/>
    <x v="5"/>
    <s v="Referral"/>
    <n v="1985.67"/>
  </r>
  <r>
    <s v="ORD200747"/>
    <s v="C54277"/>
    <x v="2"/>
    <n v="2"/>
    <x v="745"/>
    <s v="940 Main St"/>
    <s v="Debit Card"/>
    <x v="0"/>
    <s v="Instagram"/>
    <n v="519.16"/>
  </r>
  <r>
    <s v="ORD200748"/>
    <s v="C56553"/>
    <x v="2"/>
    <n v="3"/>
    <x v="746"/>
    <s v="249 Main St"/>
    <s v="Credit Card"/>
    <x v="2"/>
    <s v="Referral"/>
    <n v="212.43"/>
  </r>
  <r>
    <s v="ORD200749"/>
    <s v="C17551"/>
    <x v="5"/>
    <n v="1"/>
    <x v="747"/>
    <s v="997 Main St"/>
    <s v="Debit Card"/>
    <x v="4"/>
    <s v="Instagram"/>
    <n v="518.39"/>
  </r>
  <r>
    <s v="ORD200750"/>
    <s v="C14737"/>
    <x v="2"/>
    <n v="4"/>
    <x v="748"/>
    <s v="637 Main St"/>
    <s v="Credit Card"/>
    <x v="0"/>
    <s v="Email"/>
    <n v="581.64"/>
  </r>
  <r>
    <s v="ORD200751"/>
    <s v="C35168"/>
    <x v="2"/>
    <n v="2"/>
    <x v="749"/>
    <s v="455 Main St"/>
    <s v="Gift Card"/>
    <x v="0"/>
    <s v="Facebook"/>
    <n v="1199.72"/>
  </r>
  <r>
    <s v="ORD200752"/>
    <s v="C82217"/>
    <x v="1"/>
    <n v="4"/>
    <x v="750"/>
    <s v="299 Main St"/>
    <s v="Credit Card"/>
    <x v="2"/>
    <s v="Google"/>
    <n v="1717.48"/>
  </r>
  <r>
    <s v="ORD200753"/>
    <s v="C42270"/>
    <x v="1"/>
    <n v="2"/>
    <x v="751"/>
    <s v="864 Main St"/>
    <s v="Debit Card"/>
    <x v="0"/>
    <s v="Instagram"/>
    <n v="482.98"/>
  </r>
  <r>
    <s v="ORD200754"/>
    <s v="C48846"/>
    <x v="4"/>
    <n v="2"/>
    <x v="752"/>
    <s v="983 Main St"/>
    <s v="Credit Card"/>
    <x v="1"/>
    <s v="Email"/>
    <n v="904.1"/>
  </r>
  <r>
    <s v="ORD200755"/>
    <s v="C54160"/>
    <x v="6"/>
    <n v="3"/>
    <x v="753"/>
    <s v="658 Main St"/>
    <s v="Credit Card"/>
    <x v="4"/>
    <s v="Email"/>
    <n v="1010.13"/>
  </r>
  <r>
    <s v="ORD200756"/>
    <s v="C14080"/>
    <x v="1"/>
    <n v="1"/>
    <x v="754"/>
    <s v="202 Main St"/>
    <s v="Gift Card"/>
    <x v="5"/>
    <s v="Google"/>
    <n v="283.69"/>
  </r>
  <r>
    <s v="ORD200757"/>
    <s v="C81074"/>
    <x v="6"/>
    <n v="1"/>
    <x v="755"/>
    <s v="597 Main St"/>
    <s v="Debit Card"/>
    <x v="7"/>
    <s v="Google"/>
    <n v="157.72"/>
  </r>
  <r>
    <s v="ORD200758"/>
    <s v="C69021"/>
    <x v="2"/>
    <n v="3"/>
    <x v="756"/>
    <s v="917 Main St"/>
    <s v="Credit Card"/>
    <x v="2"/>
    <s v="Facebook"/>
    <n v="1874.52"/>
  </r>
  <r>
    <s v="ORD200759"/>
    <s v="C96283"/>
    <x v="6"/>
    <n v="3"/>
    <x v="757"/>
    <s v="366 Main St"/>
    <s v="Cash"/>
    <x v="1"/>
    <s v="Facebook"/>
    <n v="924.03"/>
  </r>
  <r>
    <s v="ORD200760"/>
    <s v="C96636"/>
    <x v="6"/>
    <n v="1"/>
    <x v="758"/>
    <s v="283 Main St"/>
    <s v="Debit Card"/>
    <x v="3"/>
    <s v="Google"/>
    <n v="39.56"/>
  </r>
  <r>
    <s v="ORD200761"/>
    <s v="C37235"/>
    <x v="6"/>
    <n v="4"/>
    <x v="759"/>
    <s v="217 Main St"/>
    <s v="Debit Card"/>
    <x v="0"/>
    <s v="Google"/>
    <n v="151.04"/>
  </r>
  <r>
    <s v="ORD200762"/>
    <s v="C12444"/>
    <x v="1"/>
    <n v="3"/>
    <x v="760"/>
    <s v="611 Main St"/>
    <s v="Cash"/>
    <x v="2"/>
    <s v="Email"/>
    <n v="230.88"/>
  </r>
  <r>
    <s v="ORD200763"/>
    <s v="C79142"/>
    <x v="5"/>
    <n v="1"/>
    <x v="761"/>
    <s v="533 Main St"/>
    <s v="Online"/>
    <x v="4"/>
    <s v="Email"/>
    <n v="569.96"/>
  </r>
  <r>
    <s v="ORD200764"/>
    <s v="C35983"/>
    <x v="5"/>
    <n v="5"/>
    <x v="762"/>
    <s v="806 Main St"/>
    <s v="Credit Card"/>
    <x v="8"/>
    <s v="Email"/>
    <n v="3137.15"/>
  </r>
  <r>
    <s v="ORD200765"/>
    <s v="C36150"/>
    <x v="5"/>
    <n v="2"/>
    <x v="763"/>
    <s v="281 Main St"/>
    <s v="Debit Card"/>
    <x v="3"/>
    <s v="Google"/>
    <n v="1069.82"/>
  </r>
  <r>
    <s v="ORD200766"/>
    <s v="C91454"/>
    <x v="4"/>
    <n v="2"/>
    <x v="764"/>
    <s v="494 Main St"/>
    <s v="Debit Card"/>
    <x v="1"/>
    <s v="Referral"/>
    <n v="557.76"/>
  </r>
  <r>
    <s v="ORD200767"/>
    <s v="C19368"/>
    <x v="2"/>
    <n v="2"/>
    <x v="765"/>
    <s v="517 Main St"/>
    <s v="Credit Card"/>
    <x v="0"/>
    <s v="Instagram"/>
    <n v="646.44000000000005"/>
  </r>
  <r>
    <s v="ORD200768"/>
    <s v="C35987"/>
    <x v="2"/>
    <n v="5"/>
    <x v="766"/>
    <s v="165 Main St"/>
    <s v="Cash"/>
    <x v="6"/>
    <s v="Email"/>
    <n v="3267.3"/>
  </r>
  <r>
    <s v="ORD200769"/>
    <s v="C13366"/>
    <x v="4"/>
    <n v="4"/>
    <x v="767"/>
    <s v="568 Main St"/>
    <s v="Cash"/>
    <x v="3"/>
    <s v="Email"/>
    <n v="2714.2"/>
  </r>
  <r>
    <s v="ORD200770"/>
    <s v="C72166"/>
    <x v="6"/>
    <n v="1"/>
    <x v="768"/>
    <s v="227 Main St"/>
    <s v="Online"/>
    <x v="5"/>
    <s v="Google"/>
    <n v="314.38"/>
  </r>
  <r>
    <s v="ORD200771"/>
    <s v="C20357"/>
    <x v="1"/>
    <n v="3"/>
    <x v="769"/>
    <s v="272 Main St"/>
    <s v="Debit Card"/>
    <x v="2"/>
    <s v="Google"/>
    <n v="2077.3200000000002"/>
  </r>
  <r>
    <s v="ORD200772"/>
    <s v="C33802"/>
    <x v="0"/>
    <n v="1"/>
    <x v="770"/>
    <s v="461 Main St"/>
    <s v="Online"/>
    <x v="4"/>
    <s v="Instagram"/>
    <n v="604.87"/>
  </r>
  <r>
    <s v="ORD200773"/>
    <s v="C99205"/>
    <x v="1"/>
    <n v="2"/>
    <x v="771"/>
    <s v="415 Main St"/>
    <s v="Cash"/>
    <x v="0"/>
    <s v="Facebook"/>
    <n v="1024.6600000000001"/>
  </r>
  <r>
    <s v="ORD200774"/>
    <s v="C29701"/>
    <x v="3"/>
    <n v="3"/>
    <x v="772"/>
    <s v="257 Main St"/>
    <s v="Credit Card"/>
    <x v="1"/>
    <s v="Instagram"/>
    <n v="61.62"/>
  </r>
  <r>
    <s v="ORD200775"/>
    <s v="C73941"/>
    <x v="1"/>
    <n v="2"/>
    <x v="773"/>
    <s v="569 Main St"/>
    <s v="Online"/>
    <x v="3"/>
    <s v="Google"/>
    <n v="1250.44"/>
  </r>
  <r>
    <s v="ORD200776"/>
    <s v="C69168"/>
    <x v="2"/>
    <n v="1"/>
    <x v="774"/>
    <s v="482 Main St"/>
    <s v="Cash"/>
    <x v="3"/>
    <s v="Google"/>
    <n v="21.19"/>
  </r>
  <r>
    <s v="ORD200777"/>
    <s v="C66116"/>
    <x v="3"/>
    <n v="5"/>
    <x v="775"/>
    <s v="633 Main St"/>
    <s v="Online"/>
    <x v="0"/>
    <s v="Facebook"/>
    <n v="322.45"/>
  </r>
  <r>
    <s v="ORD200778"/>
    <s v="C85059"/>
    <x v="5"/>
    <n v="4"/>
    <x v="776"/>
    <s v="316 Main St"/>
    <s v="Credit Card"/>
    <x v="2"/>
    <s v="Google"/>
    <n v="987.4"/>
  </r>
  <r>
    <s v="ORD200779"/>
    <s v="C18076"/>
    <x v="1"/>
    <n v="3"/>
    <x v="777"/>
    <s v="751 Main St"/>
    <s v="Debit Card"/>
    <x v="2"/>
    <s v="Email"/>
    <n v="1766.22"/>
  </r>
  <r>
    <s v="ORD200780"/>
    <s v="C41284"/>
    <x v="5"/>
    <n v="4"/>
    <x v="778"/>
    <s v="661 Main St"/>
    <s v="Online"/>
    <x v="4"/>
    <s v="Google"/>
    <n v="737.92"/>
  </r>
  <r>
    <s v="ORD200781"/>
    <s v="C43524"/>
    <x v="1"/>
    <n v="5"/>
    <x v="779"/>
    <s v="934 Main St"/>
    <s v="Gift Card"/>
    <x v="3"/>
    <s v="Referral"/>
    <n v="2621.3000000000002"/>
  </r>
  <r>
    <s v="ORD200782"/>
    <s v="C58063"/>
    <x v="0"/>
    <n v="2"/>
    <x v="780"/>
    <s v="167 Main St"/>
    <s v="Online"/>
    <x v="5"/>
    <s v="Referral"/>
    <n v="987.26"/>
  </r>
  <r>
    <s v="ORD200783"/>
    <s v="C19937"/>
    <x v="4"/>
    <n v="1"/>
    <x v="781"/>
    <s v="281 Main St"/>
    <s v="Gift Card"/>
    <x v="3"/>
    <s v="Facebook"/>
    <n v="438.34"/>
  </r>
  <r>
    <s v="ORD200784"/>
    <s v="C21191"/>
    <x v="5"/>
    <n v="1"/>
    <x v="782"/>
    <s v="232 Main St"/>
    <s v="Credit Card"/>
    <x v="9"/>
    <s v="Referral"/>
    <n v="325.81"/>
  </r>
  <r>
    <s v="ORD200785"/>
    <s v="C45862"/>
    <x v="3"/>
    <n v="1"/>
    <x v="783"/>
    <s v="342 Main St"/>
    <s v="Credit Card"/>
    <x v="9"/>
    <s v="Instagram"/>
    <n v="176.1"/>
  </r>
  <r>
    <s v="ORD200786"/>
    <s v="C39130"/>
    <x v="3"/>
    <n v="5"/>
    <x v="784"/>
    <s v="774 Main St"/>
    <s v="Online"/>
    <x v="2"/>
    <s v="Referral"/>
    <n v="226.55"/>
  </r>
  <r>
    <s v="ORD200787"/>
    <s v="C18167"/>
    <x v="6"/>
    <n v="4"/>
    <x v="785"/>
    <s v="193 Main St"/>
    <s v="Cash"/>
    <x v="0"/>
    <s v="Google"/>
    <n v="887.84"/>
  </r>
  <r>
    <s v="ORD200788"/>
    <s v="C47307"/>
    <x v="3"/>
    <n v="2"/>
    <x v="786"/>
    <s v="761 Main St"/>
    <s v="Online"/>
    <x v="3"/>
    <s v="Instagram"/>
    <n v="1202.8599999999999"/>
  </r>
  <r>
    <s v="ORD200789"/>
    <s v="C57276"/>
    <x v="2"/>
    <n v="5"/>
    <x v="787"/>
    <s v="183 Main St"/>
    <s v="Online"/>
    <x v="8"/>
    <s v="Email"/>
    <n v="3456.4"/>
  </r>
  <r>
    <s v="ORD200790"/>
    <s v="C38928"/>
    <x v="5"/>
    <n v="4"/>
    <x v="788"/>
    <s v="302 Main St"/>
    <s v="Gift Card"/>
    <x v="4"/>
    <s v="Google"/>
    <n v="1671.56"/>
  </r>
  <r>
    <s v="ORD200791"/>
    <s v="C49710"/>
    <x v="3"/>
    <n v="4"/>
    <x v="789"/>
    <s v="956 Main St"/>
    <s v="Cash"/>
    <x v="2"/>
    <s v="Email"/>
    <n v="1637.12"/>
  </r>
  <r>
    <s v="ORD200792"/>
    <s v="C41709"/>
    <x v="6"/>
    <n v="2"/>
    <x v="790"/>
    <s v="746 Main St"/>
    <s v="Debit Card"/>
    <x v="5"/>
    <s v="Facebook"/>
    <n v="712.7"/>
  </r>
  <r>
    <s v="ORD200793"/>
    <s v="C91255"/>
    <x v="3"/>
    <n v="5"/>
    <x v="791"/>
    <s v="769 Main St"/>
    <s v="Debit Card"/>
    <x v="2"/>
    <s v="Referral"/>
    <n v="851.1"/>
  </r>
  <r>
    <s v="ORD200794"/>
    <s v="C76653"/>
    <x v="4"/>
    <n v="4"/>
    <x v="792"/>
    <s v="988 Main St"/>
    <s v="Online"/>
    <x v="6"/>
    <s v="Instagram"/>
    <n v="1539.4"/>
  </r>
  <r>
    <s v="ORD200795"/>
    <s v="C95667"/>
    <x v="5"/>
    <n v="4"/>
    <x v="793"/>
    <s v="586 Main St"/>
    <s v="Online"/>
    <x v="0"/>
    <s v="Instagram"/>
    <n v="463.08"/>
  </r>
  <r>
    <s v="ORD200796"/>
    <s v="C33313"/>
    <x v="1"/>
    <n v="3"/>
    <x v="794"/>
    <s v="882 Main St"/>
    <s v="Gift Card"/>
    <x v="2"/>
    <s v="Facebook"/>
    <n v="1738.65"/>
  </r>
  <r>
    <s v="ORD200797"/>
    <s v="C36825"/>
    <x v="5"/>
    <n v="2"/>
    <x v="795"/>
    <s v="426 Main St"/>
    <s v="Debit Card"/>
    <x v="7"/>
    <s v="Facebook"/>
    <n v="877.52"/>
  </r>
  <r>
    <s v="ORD200798"/>
    <s v="C20861"/>
    <x v="1"/>
    <n v="5"/>
    <x v="796"/>
    <s v="968 Main St"/>
    <s v="Debit Card"/>
    <x v="6"/>
    <s v="Email"/>
    <n v="2441.75"/>
  </r>
  <r>
    <s v="ORD200799"/>
    <s v="C26364"/>
    <x v="5"/>
    <n v="4"/>
    <x v="797"/>
    <s v="803 Main St"/>
    <s v="Debit Card"/>
    <x v="4"/>
    <s v="Email"/>
    <n v="1314.24"/>
  </r>
  <r>
    <s v="ORD200800"/>
    <s v="C34686"/>
    <x v="2"/>
    <n v="1"/>
    <x v="798"/>
    <s v="412 Main St"/>
    <s v="Online"/>
    <x v="1"/>
    <s v="Facebook"/>
    <n v="68.39"/>
  </r>
  <r>
    <s v="ORD200801"/>
    <s v="C97593"/>
    <x v="4"/>
    <n v="4"/>
    <x v="799"/>
    <s v="738 Main St"/>
    <s v="Debit Card"/>
    <x v="2"/>
    <s v="Facebook"/>
    <n v="2382.48"/>
  </r>
  <r>
    <s v="ORD200802"/>
    <s v="C84331"/>
    <x v="3"/>
    <n v="5"/>
    <x v="800"/>
    <s v="205 Main St"/>
    <s v="Gift Card"/>
    <x v="5"/>
    <s v="Email"/>
    <n v="3223.2"/>
  </r>
  <r>
    <s v="ORD200803"/>
    <s v="C88775"/>
    <x v="0"/>
    <n v="5"/>
    <x v="801"/>
    <s v="223 Main St"/>
    <s v="Debit Card"/>
    <x v="3"/>
    <s v="Referral"/>
    <n v="1989.05"/>
  </r>
  <r>
    <s v="ORD200804"/>
    <s v="C76362"/>
    <x v="3"/>
    <n v="3"/>
    <x v="802"/>
    <s v="916 Main St"/>
    <s v="Online"/>
    <x v="2"/>
    <s v="Email"/>
    <n v="709.5"/>
  </r>
  <r>
    <s v="ORD200805"/>
    <s v="C59278"/>
    <x v="5"/>
    <n v="5"/>
    <x v="803"/>
    <s v="178 Main St"/>
    <s v="Gift Card"/>
    <x v="8"/>
    <s v="Email"/>
    <n v="2360.0500000000002"/>
  </r>
  <r>
    <s v="ORD200806"/>
    <s v="C55819"/>
    <x v="3"/>
    <n v="5"/>
    <x v="804"/>
    <s v="740 Main St"/>
    <s v="Online"/>
    <x v="6"/>
    <s v="Instagram"/>
    <n v="1268.75"/>
  </r>
  <r>
    <s v="ORD200807"/>
    <s v="C82344"/>
    <x v="0"/>
    <n v="3"/>
    <x v="805"/>
    <s v="260 Main St"/>
    <s v="Online"/>
    <x v="3"/>
    <s v="Google"/>
    <n v="2028.63"/>
  </r>
  <r>
    <s v="ORD200808"/>
    <s v="C65565"/>
    <x v="6"/>
    <n v="3"/>
    <x v="806"/>
    <s v="192 Main St"/>
    <s v="Credit Card"/>
    <x v="1"/>
    <s v="Google"/>
    <n v="402.15"/>
  </r>
  <r>
    <s v="ORD200809"/>
    <s v="C80416"/>
    <x v="6"/>
    <n v="5"/>
    <x v="807"/>
    <s v="752 Main St"/>
    <s v="Debit Card"/>
    <x v="8"/>
    <s v="Instagram"/>
    <n v="1087.1500000000001"/>
  </r>
  <r>
    <s v="ORD200810"/>
    <s v="C23637"/>
    <x v="2"/>
    <n v="1"/>
    <x v="808"/>
    <s v="644 Main St"/>
    <s v="Credit Card"/>
    <x v="3"/>
    <s v="Referral"/>
    <n v="553.55999999999995"/>
  </r>
  <r>
    <s v="ORD200811"/>
    <s v="C24769"/>
    <x v="5"/>
    <n v="2"/>
    <x v="809"/>
    <s v="864 Main St"/>
    <s v="Gift Card"/>
    <x v="0"/>
    <s v="Email"/>
    <n v="57.1"/>
  </r>
  <r>
    <s v="ORD200812"/>
    <s v="C81547"/>
    <x v="1"/>
    <n v="2"/>
    <x v="810"/>
    <s v="803 Main St"/>
    <s v="Credit Card"/>
    <x v="5"/>
    <s v="Google"/>
    <n v="510.52"/>
  </r>
  <r>
    <s v="ORD200813"/>
    <s v="C12813"/>
    <x v="5"/>
    <n v="5"/>
    <x v="811"/>
    <s v="263 Main St"/>
    <s v="Debit Card"/>
    <x v="2"/>
    <s v="Email"/>
    <n v="1462.7"/>
  </r>
  <r>
    <s v="ORD200814"/>
    <s v="C50732"/>
    <x v="3"/>
    <n v="4"/>
    <x v="812"/>
    <s v="979 Main St"/>
    <s v="Debit Card"/>
    <x v="4"/>
    <s v="Instagram"/>
    <n v="590.04"/>
  </r>
  <r>
    <s v="ORD200815"/>
    <s v="C41320"/>
    <x v="4"/>
    <n v="3"/>
    <x v="813"/>
    <s v="920 Main St"/>
    <s v="Gift Card"/>
    <x v="2"/>
    <s v="Instagram"/>
    <n v="1709.52"/>
  </r>
  <r>
    <s v="ORD200816"/>
    <s v="C55286"/>
    <x v="2"/>
    <n v="5"/>
    <x v="814"/>
    <s v="497 Main St"/>
    <s v="Credit Card"/>
    <x v="2"/>
    <s v="Referral"/>
    <n v="2873.95"/>
  </r>
  <r>
    <s v="ORD200817"/>
    <s v="C87994"/>
    <x v="3"/>
    <n v="4"/>
    <x v="815"/>
    <s v="430 Main St"/>
    <s v="Credit Card"/>
    <x v="0"/>
    <s v="Email"/>
    <n v="2392.7600000000002"/>
  </r>
  <r>
    <s v="ORD200818"/>
    <s v="C25580"/>
    <x v="1"/>
    <n v="4"/>
    <x v="816"/>
    <s v="860 Main St"/>
    <s v="Credit Card"/>
    <x v="6"/>
    <s v="Referral"/>
    <n v="1563.36"/>
  </r>
  <r>
    <s v="ORD200819"/>
    <s v="C66196"/>
    <x v="1"/>
    <n v="2"/>
    <x v="817"/>
    <s v="650 Main St"/>
    <s v="Debit Card"/>
    <x v="0"/>
    <s v="Google"/>
    <n v="796.9"/>
  </r>
  <r>
    <s v="ORD200820"/>
    <s v="C35377"/>
    <x v="1"/>
    <n v="5"/>
    <x v="818"/>
    <s v="171 Main St"/>
    <s v="Cash"/>
    <x v="5"/>
    <s v="Email"/>
    <n v="3119.05"/>
  </r>
  <r>
    <s v="ORD200821"/>
    <s v="C40771"/>
    <x v="5"/>
    <n v="4"/>
    <x v="819"/>
    <s v="259 Main St"/>
    <s v="Credit Card"/>
    <x v="3"/>
    <s v="Facebook"/>
    <n v="697.96"/>
  </r>
  <r>
    <s v="ORD200822"/>
    <s v="C20624"/>
    <x v="1"/>
    <n v="1"/>
    <x v="820"/>
    <s v="923 Main St"/>
    <s v="Gift Card"/>
    <x v="9"/>
    <s v="Google"/>
    <n v="479.56"/>
  </r>
  <r>
    <s v="ORD200823"/>
    <s v="C27070"/>
    <x v="5"/>
    <n v="4"/>
    <x v="821"/>
    <s v="973 Main St"/>
    <s v="Credit Card"/>
    <x v="2"/>
    <s v="Instagram"/>
    <n v="2612.52"/>
  </r>
  <r>
    <s v="ORD200824"/>
    <s v="C18826"/>
    <x v="0"/>
    <n v="3"/>
    <x v="822"/>
    <s v="664 Main St"/>
    <s v="Credit Card"/>
    <x v="1"/>
    <s v="Facebook"/>
    <n v="1443.3"/>
  </r>
  <r>
    <s v="ORD200825"/>
    <s v="C23899"/>
    <x v="6"/>
    <n v="5"/>
    <x v="823"/>
    <s v="543 Main St"/>
    <s v="Online"/>
    <x v="0"/>
    <s v="Instagram"/>
    <n v="1358.45"/>
  </r>
  <r>
    <s v="ORD200826"/>
    <s v="C43249"/>
    <x v="4"/>
    <n v="3"/>
    <x v="824"/>
    <s v="283 Main St"/>
    <s v="Online"/>
    <x v="2"/>
    <s v="Email"/>
    <n v="1391.43"/>
  </r>
  <r>
    <s v="ORD200827"/>
    <s v="C95856"/>
    <x v="2"/>
    <n v="2"/>
    <x v="825"/>
    <s v="432 Main St"/>
    <s v="Cash"/>
    <x v="3"/>
    <s v="Instagram"/>
    <n v="1279.76"/>
  </r>
  <r>
    <s v="ORD200828"/>
    <s v="C86266"/>
    <x v="3"/>
    <n v="4"/>
    <x v="826"/>
    <s v="510 Main St"/>
    <s v="Cash"/>
    <x v="3"/>
    <s v="Instagram"/>
    <n v="1618.32"/>
  </r>
  <r>
    <s v="ORD200829"/>
    <s v="C39551"/>
    <x v="0"/>
    <n v="1"/>
    <x v="827"/>
    <s v="685 Main St"/>
    <s v="Debit Card"/>
    <x v="5"/>
    <s v="Instagram"/>
    <n v="76.930000000000007"/>
  </r>
  <r>
    <s v="ORD200830"/>
    <s v="C90310"/>
    <x v="2"/>
    <n v="4"/>
    <x v="828"/>
    <s v="853 Main St"/>
    <s v="Cash"/>
    <x v="3"/>
    <s v="Email"/>
    <n v="762.56"/>
  </r>
  <r>
    <s v="ORD200831"/>
    <s v="C20124"/>
    <x v="4"/>
    <n v="2"/>
    <x v="829"/>
    <s v="140 Main St"/>
    <s v="Online"/>
    <x v="3"/>
    <s v="Google"/>
    <n v="177.46"/>
  </r>
  <r>
    <s v="ORD200832"/>
    <s v="C63372"/>
    <x v="3"/>
    <n v="5"/>
    <x v="830"/>
    <s v="903 Main St"/>
    <s v="Online"/>
    <x v="8"/>
    <s v="Referral"/>
    <n v="2428.5500000000002"/>
  </r>
  <r>
    <s v="ORD200833"/>
    <s v="C90595"/>
    <x v="1"/>
    <n v="5"/>
    <x v="831"/>
    <s v="508 Main St"/>
    <s v="Credit Card"/>
    <x v="3"/>
    <s v="Referral"/>
    <n v="391.45"/>
  </r>
  <r>
    <s v="ORD200834"/>
    <s v="C98483"/>
    <x v="4"/>
    <n v="5"/>
    <x v="832"/>
    <s v="456 Main St"/>
    <s v="Cash"/>
    <x v="8"/>
    <s v="Instagram"/>
    <n v="110.7"/>
  </r>
  <r>
    <s v="ORD200835"/>
    <s v="C16429"/>
    <x v="6"/>
    <n v="1"/>
    <x v="833"/>
    <s v="390 Main St"/>
    <s v="Debit Card"/>
    <x v="5"/>
    <s v="Google"/>
    <n v="679.65"/>
  </r>
  <r>
    <s v="ORD200836"/>
    <s v="C31810"/>
    <x v="1"/>
    <n v="1"/>
    <x v="834"/>
    <s v="328 Main St"/>
    <s v="Credit Card"/>
    <x v="7"/>
    <s v="Google"/>
    <n v="178.44"/>
  </r>
  <r>
    <s v="ORD200837"/>
    <s v="C88029"/>
    <x v="3"/>
    <n v="5"/>
    <x v="835"/>
    <s v="282 Main St"/>
    <s v="Online"/>
    <x v="3"/>
    <s v="Email"/>
    <n v="3277.75"/>
  </r>
  <r>
    <s v="ORD200838"/>
    <s v="C57798"/>
    <x v="6"/>
    <n v="4"/>
    <x v="836"/>
    <s v="384 Main St"/>
    <s v="Online"/>
    <x v="2"/>
    <s v="Facebook"/>
    <n v="2308.3200000000002"/>
  </r>
  <r>
    <s v="ORD200839"/>
    <s v="C82858"/>
    <x v="3"/>
    <n v="3"/>
    <x v="837"/>
    <s v="551 Main St"/>
    <s v="Online"/>
    <x v="3"/>
    <s v="Google"/>
    <n v="593.91"/>
  </r>
  <r>
    <s v="ORD200840"/>
    <s v="C60699"/>
    <x v="3"/>
    <n v="3"/>
    <x v="838"/>
    <s v="672 Main St"/>
    <s v="Credit Card"/>
    <x v="0"/>
    <s v="Referral"/>
    <n v="1235.8499999999999"/>
  </r>
  <r>
    <s v="ORD200841"/>
    <s v="C94658"/>
    <x v="4"/>
    <n v="2"/>
    <x v="839"/>
    <s v="742 Main St"/>
    <s v="Credit Card"/>
    <x v="3"/>
    <s v="Facebook"/>
    <n v="886.44"/>
  </r>
  <r>
    <s v="ORD200842"/>
    <s v="C78305"/>
    <x v="5"/>
    <n v="3"/>
    <x v="840"/>
    <s v="396 Main St"/>
    <s v="Online"/>
    <x v="0"/>
    <s v="Referral"/>
    <n v="1092.42"/>
  </r>
  <r>
    <s v="ORD200843"/>
    <s v="C43538"/>
    <x v="6"/>
    <n v="3"/>
    <x v="841"/>
    <s v="534 Main St"/>
    <s v="Gift Card"/>
    <x v="2"/>
    <s v="Instagram"/>
    <n v="1290.18"/>
  </r>
  <r>
    <s v="ORD200844"/>
    <s v="C47486"/>
    <x v="3"/>
    <n v="1"/>
    <x v="842"/>
    <s v="883 Main St"/>
    <s v="Online"/>
    <x v="3"/>
    <s v="Facebook"/>
    <n v="320.92"/>
  </r>
  <r>
    <s v="ORD200845"/>
    <s v="C24212"/>
    <x v="1"/>
    <n v="3"/>
    <x v="843"/>
    <s v="808 Main St"/>
    <s v="Gift Card"/>
    <x v="3"/>
    <s v="Google"/>
    <n v="322.08"/>
  </r>
  <r>
    <s v="ORD200846"/>
    <s v="C24765"/>
    <x v="6"/>
    <n v="2"/>
    <x v="844"/>
    <s v="646 Main St"/>
    <s v="Debit Card"/>
    <x v="4"/>
    <s v="Referral"/>
    <n v="719.72"/>
  </r>
  <r>
    <s v="ORD200847"/>
    <s v="C48176"/>
    <x v="4"/>
    <n v="4"/>
    <x v="845"/>
    <s v="670 Main St"/>
    <s v="Online"/>
    <x v="2"/>
    <s v="Email"/>
    <n v="1736.92"/>
  </r>
  <r>
    <s v="ORD200848"/>
    <s v="C54675"/>
    <x v="3"/>
    <n v="2"/>
    <x v="846"/>
    <s v="634 Main St"/>
    <s v="Online"/>
    <x v="3"/>
    <s v="Referral"/>
    <n v="1291.7"/>
  </r>
  <r>
    <s v="ORD200849"/>
    <s v="C16675"/>
    <x v="4"/>
    <n v="4"/>
    <x v="847"/>
    <s v="664 Main St"/>
    <s v="Debit Card"/>
    <x v="0"/>
    <s v="Referral"/>
    <n v="857.4"/>
  </r>
  <r>
    <s v="ORD200850"/>
    <s v="C38557"/>
    <x v="0"/>
    <n v="3"/>
    <x v="848"/>
    <s v="890 Main St"/>
    <s v="Debit Card"/>
    <x v="4"/>
    <s v="Instagram"/>
    <n v="1915.5"/>
  </r>
  <r>
    <s v="ORD200851"/>
    <s v="C80183"/>
    <x v="5"/>
    <n v="1"/>
    <x v="849"/>
    <s v="146 Main St"/>
    <s v="Online"/>
    <x v="3"/>
    <s v="Email"/>
    <n v="365.57"/>
  </r>
  <r>
    <s v="ORD200852"/>
    <s v="C39530"/>
    <x v="6"/>
    <n v="3"/>
    <x v="850"/>
    <s v="618 Main St"/>
    <s v="Gift Card"/>
    <x v="5"/>
    <s v="Google"/>
    <n v="1704.15"/>
  </r>
  <r>
    <s v="ORD200853"/>
    <s v="C10002"/>
    <x v="4"/>
    <n v="3"/>
    <x v="851"/>
    <s v="894 Main St"/>
    <s v="Cash"/>
    <x v="4"/>
    <s v="Facebook"/>
    <n v="1470.03"/>
  </r>
  <r>
    <s v="ORD200854"/>
    <s v="C56938"/>
    <x v="5"/>
    <n v="3"/>
    <x v="852"/>
    <s v="356 Main St"/>
    <s v="Credit Card"/>
    <x v="0"/>
    <s v="Referral"/>
    <n v="1117.8"/>
  </r>
  <r>
    <s v="ORD200855"/>
    <s v="C41331"/>
    <x v="0"/>
    <n v="5"/>
    <x v="853"/>
    <s v="785 Main St"/>
    <s v="Credit Card"/>
    <x v="8"/>
    <s v="Email"/>
    <n v="1203.05"/>
  </r>
  <r>
    <s v="ORD200856"/>
    <s v="C94698"/>
    <x v="1"/>
    <n v="1"/>
    <x v="854"/>
    <s v="871 Main St"/>
    <s v="Debit Card"/>
    <x v="3"/>
    <s v="Facebook"/>
    <n v="586.62"/>
  </r>
  <r>
    <s v="ORD200857"/>
    <s v="C56506"/>
    <x v="1"/>
    <n v="3"/>
    <x v="855"/>
    <s v="185 Main St"/>
    <s v="Online"/>
    <x v="4"/>
    <s v="Instagram"/>
    <n v="773.52"/>
  </r>
  <r>
    <s v="ORD200858"/>
    <s v="C22167"/>
    <x v="2"/>
    <n v="5"/>
    <x v="856"/>
    <s v="891 Main St"/>
    <s v="Online"/>
    <x v="6"/>
    <s v="Facebook"/>
    <n v="2178.3000000000002"/>
  </r>
  <r>
    <s v="ORD200859"/>
    <s v="C11127"/>
    <x v="3"/>
    <n v="5"/>
    <x v="857"/>
    <s v="154 Main St"/>
    <s v="Credit Card"/>
    <x v="3"/>
    <s v="Referral"/>
    <n v="1306.6500000000001"/>
  </r>
  <r>
    <s v="ORD200860"/>
    <s v="C69542"/>
    <x v="4"/>
    <n v="1"/>
    <x v="858"/>
    <s v="876 Main St"/>
    <s v="Cash"/>
    <x v="9"/>
    <s v="Google"/>
    <n v="422.54"/>
  </r>
  <r>
    <s v="ORD200861"/>
    <s v="C93276"/>
    <x v="6"/>
    <n v="5"/>
    <x v="859"/>
    <s v="230 Main St"/>
    <s v="Gift Card"/>
    <x v="8"/>
    <s v="Google"/>
    <n v="1652.25"/>
  </r>
  <r>
    <s v="ORD200862"/>
    <s v="C37969"/>
    <x v="6"/>
    <n v="3"/>
    <x v="860"/>
    <s v="799 Main St"/>
    <s v="Credit Card"/>
    <x v="3"/>
    <s v="Referral"/>
    <n v="362.46"/>
  </r>
  <r>
    <s v="ORD200863"/>
    <s v="C98276"/>
    <x v="1"/>
    <n v="1"/>
    <x v="861"/>
    <s v="471 Main St"/>
    <s v="Credit Card"/>
    <x v="3"/>
    <s v="Referral"/>
    <n v="14.06"/>
  </r>
  <r>
    <s v="ORD200864"/>
    <s v="C14240"/>
    <x v="6"/>
    <n v="1"/>
    <x v="862"/>
    <s v="592 Main St"/>
    <s v="Credit Card"/>
    <x v="4"/>
    <s v="Facebook"/>
    <n v="491.11"/>
  </r>
  <r>
    <s v="ORD200865"/>
    <s v="C72241"/>
    <x v="0"/>
    <n v="4"/>
    <x v="863"/>
    <s v="156 Main St"/>
    <s v="Cash"/>
    <x v="2"/>
    <s v="Google"/>
    <n v="2709.48"/>
  </r>
  <r>
    <s v="ORD200866"/>
    <s v="C39664"/>
    <x v="6"/>
    <n v="5"/>
    <x v="864"/>
    <s v="693 Main St"/>
    <s v="Debit Card"/>
    <x v="8"/>
    <s v="Email"/>
    <n v="946.25"/>
  </r>
  <r>
    <s v="ORD200867"/>
    <s v="C53252"/>
    <x v="4"/>
    <n v="4"/>
    <x v="865"/>
    <s v="351 Main St"/>
    <s v="Cash"/>
    <x v="4"/>
    <s v="Facebook"/>
    <n v="570.32000000000005"/>
  </r>
  <r>
    <s v="ORD200868"/>
    <s v="C70452"/>
    <x v="0"/>
    <n v="4"/>
    <x v="866"/>
    <s v="309 Main St"/>
    <s v="Debit Card"/>
    <x v="0"/>
    <s v="Facebook"/>
    <n v="1265.28"/>
  </r>
  <r>
    <s v="ORD200869"/>
    <s v="C29905"/>
    <x v="6"/>
    <n v="2"/>
    <x v="867"/>
    <s v="790 Main St"/>
    <s v="Online"/>
    <x v="3"/>
    <s v="Google"/>
    <n v="1067.9000000000001"/>
  </r>
  <r>
    <s v="ORD200870"/>
    <s v="C78725"/>
    <x v="1"/>
    <n v="4"/>
    <x v="868"/>
    <s v="541 Main St"/>
    <s v="Debit Card"/>
    <x v="4"/>
    <s v="Google"/>
    <n v="1880.36"/>
  </r>
  <r>
    <s v="ORD200871"/>
    <s v="C93768"/>
    <x v="2"/>
    <n v="3"/>
    <x v="869"/>
    <s v="720 Main St"/>
    <s v="Debit Card"/>
    <x v="2"/>
    <s v="Email"/>
    <n v="972.90000000000009"/>
  </r>
  <r>
    <s v="ORD200872"/>
    <s v="C59169"/>
    <x v="3"/>
    <n v="4"/>
    <x v="120"/>
    <s v="172 Main St"/>
    <s v="Cash"/>
    <x v="0"/>
    <s v="Email"/>
    <n v="2517.36"/>
  </r>
  <r>
    <s v="ORD200873"/>
    <s v="C53488"/>
    <x v="6"/>
    <n v="3"/>
    <x v="503"/>
    <s v="448 Main St"/>
    <s v="Cash"/>
    <x v="1"/>
    <s v="Facebook"/>
    <n v="410.52"/>
  </r>
  <r>
    <s v="ORD200874"/>
    <s v="C92180"/>
    <x v="3"/>
    <n v="2"/>
    <x v="870"/>
    <s v="632 Main St"/>
    <s v="Cash"/>
    <x v="0"/>
    <s v="Facebook"/>
    <n v="977.8"/>
  </r>
  <r>
    <s v="ORD200875"/>
    <s v="C25918"/>
    <x v="5"/>
    <n v="5"/>
    <x v="871"/>
    <s v="203 Main St"/>
    <s v="Credit Card"/>
    <x v="5"/>
    <s v="Referral"/>
    <n v="666.94999999999993"/>
  </r>
  <r>
    <s v="ORD200876"/>
    <s v="C90363"/>
    <x v="3"/>
    <n v="5"/>
    <x v="872"/>
    <s v="200 Main St"/>
    <s v="Gift Card"/>
    <x v="5"/>
    <s v="Google"/>
    <n v="3044.55"/>
  </r>
  <r>
    <s v="ORD200877"/>
    <s v="C43867"/>
    <x v="2"/>
    <n v="1"/>
    <x v="873"/>
    <s v="269 Main St"/>
    <s v="Debit Card"/>
    <x v="1"/>
    <s v="Email"/>
    <n v="524.05999999999995"/>
  </r>
  <r>
    <s v="ORD200878"/>
    <s v="C73873"/>
    <x v="6"/>
    <n v="2"/>
    <x v="874"/>
    <s v="393 Main St"/>
    <s v="Online"/>
    <x v="3"/>
    <s v="Google"/>
    <n v="661.38"/>
  </r>
  <r>
    <s v="ORD200879"/>
    <s v="C56622"/>
    <x v="1"/>
    <n v="2"/>
    <x v="875"/>
    <s v="932 Main St"/>
    <s v="Gift Card"/>
    <x v="1"/>
    <s v="Instagram"/>
    <n v="1095.3399999999999"/>
  </r>
  <r>
    <s v="ORD200880"/>
    <s v="C85074"/>
    <x v="5"/>
    <n v="4"/>
    <x v="876"/>
    <s v="506 Main St"/>
    <s v="Online"/>
    <x v="2"/>
    <s v="Facebook"/>
    <n v="934.8"/>
  </r>
  <r>
    <s v="ORD200881"/>
    <s v="C59579"/>
    <x v="2"/>
    <n v="2"/>
    <x v="877"/>
    <s v="386 Main St"/>
    <s v="Credit Card"/>
    <x v="5"/>
    <s v="Instagram"/>
    <n v="897.7"/>
  </r>
  <r>
    <s v="ORD200882"/>
    <s v="C43335"/>
    <x v="1"/>
    <n v="2"/>
    <x v="878"/>
    <s v="533 Main St"/>
    <s v="Cash"/>
    <x v="5"/>
    <s v="Referral"/>
    <n v="548.24"/>
  </r>
  <r>
    <s v="ORD200883"/>
    <s v="C43595"/>
    <x v="4"/>
    <n v="5"/>
    <x v="879"/>
    <s v="451 Main St"/>
    <s v="Online"/>
    <x v="6"/>
    <s v="Facebook"/>
    <n v="2807.4"/>
  </r>
  <r>
    <s v="ORD200884"/>
    <s v="C71471"/>
    <x v="3"/>
    <n v="1"/>
    <x v="880"/>
    <s v="817 Main St"/>
    <s v="Gift Card"/>
    <x v="4"/>
    <s v="Instagram"/>
    <n v="595.54"/>
  </r>
  <r>
    <s v="ORD200885"/>
    <s v="C61090"/>
    <x v="5"/>
    <n v="4"/>
    <x v="881"/>
    <s v="387 Main St"/>
    <s v="Credit Card"/>
    <x v="0"/>
    <s v="Google"/>
    <n v="2062.36"/>
  </r>
  <r>
    <s v="ORD200886"/>
    <s v="C29620"/>
    <x v="1"/>
    <n v="1"/>
    <x v="882"/>
    <s v="792 Main St"/>
    <s v="Credit Card"/>
    <x v="9"/>
    <s v="Google"/>
    <n v="460.13"/>
  </r>
  <r>
    <s v="ORD200887"/>
    <s v="C67932"/>
    <x v="3"/>
    <n v="3"/>
    <x v="883"/>
    <s v="857 Main St"/>
    <s v="Debit Card"/>
    <x v="0"/>
    <s v="Google"/>
    <n v="514.98"/>
  </r>
  <r>
    <s v="ORD200888"/>
    <s v="C14427"/>
    <x v="5"/>
    <n v="2"/>
    <x v="884"/>
    <s v="833 Main St"/>
    <s v="Credit Card"/>
    <x v="1"/>
    <s v="Instagram"/>
    <n v="533.9"/>
  </r>
  <r>
    <s v="ORD200889"/>
    <s v="C36725"/>
    <x v="0"/>
    <n v="5"/>
    <x v="885"/>
    <s v="350 Main St"/>
    <s v="Credit Card"/>
    <x v="2"/>
    <s v="Email"/>
    <n v="3253.6"/>
  </r>
  <r>
    <s v="ORD200890"/>
    <s v="C51921"/>
    <x v="5"/>
    <n v="3"/>
    <x v="886"/>
    <s v="943 Main St"/>
    <s v="Debit Card"/>
    <x v="3"/>
    <s v="Google"/>
    <n v="1318.59"/>
  </r>
  <r>
    <s v="ORD200891"/>
    <s v="C36534"/>
    <x v="0"/>
    <n v="3"/>
    <x v="887"/>
    <s v="918 Main St"/>
    <s v="Cash"/>
    <x v="0"/>
    <s v="Referral"/>
    <n v="1963.62"/>
  </r>
  <r>
    <s v="ORD200892"/>
    <s v="C72043"/>
    <x v="6"/>
    <n v="1"/>
    <x v="888"/>
    <s v="480 Main St"/>
    <s v="Cash"/>
    <x v="7"/>
    <s v="Referral"/>
    <n v="394.53"/>
  </r>
  <r>
    <s v="ORD200893"/>
    <s v="C99533"/>
    <x v="0"/>
    <n v="1"/>
    <x v="889"/>
    <s v="696 Main St"/>
    <s v="Cash"/>
    <x v="4"/>
    <s v="Referral"/>
    <n v="678.01"/>
  </r>
  <r>
    <s v="ORD200894"/>
    <s v="C90852"/>
    <x v="2"/>
    <n v="3"/>
    <x v="890"/>
    <s v="852 Main St"/>
    <s v="Online"/>
    <x v="2"/>
    <s v="Instagram"/>
    <n v="1725.03"/>
  </r>
  <r>
    <s v="ORD200895"/>
    <s v="C81882"/>
    <x v="3"/>
    <n v="3"/>
    <x v="891"/>
    <s v="832 Main St"/>
    <s v="Debit Card"/>
    <x v="5"/>
    <s v="Facebook"/>
    <n v="463.92"/>
  </r>
  <r>
    <s v="ORD200896"/>
    <s v="C85466"/>
    <x v="6"/>
    <n v="3"/>
    <x v="892"/>
    <s v="102 Main St"/>
    <s v="Gift Card"/>
    <x v="1"/>
    <s v="Google"/>
    <n v="441.87"/>
  </r>
  <r>
    <s v="ORD200897"/>
    <s v="C87995"/>
    <x v="5"/>
    <n v="4"/>
    <x v="893"/>
    <s v="358 Main St"/>
    <s v="Gift Card"/>
    <x v="3"/>
    <s v="Instagram"/>
    <n v="1925.92"/>
  </r>
  <r>
    <s v="ORD200898"/>
    <s v="C44619"/>
    <x v="0"/>
    <n v="3"/>
    <x v="894"/>
    <s v="742 Main St"/>
    <s v="Cash"/>
    <x v="5"/>
    <s v="Referral"/>
    <n v="475.11"/>
  </r>
  <r>
    <s v="ORD200899"/>
    <s v="C99904"/>
    <x v="4"/>
    <n v="2"/>
    <x v="895"/>
    <s v="552 Main St"/>
    <s v="Online"/>
    <x v="1"/>
    <s v="Instagram"/>
    <n v="646.74"/>
  </r>
  <r>
    <s v="ORD200900"/>
    <s v="C52342"/>
    <x v="5"/>
    <n v="5"/>
    <x v="896"/>
    <s v="991 Main St"/>
    <s v="Debit Card"/>
    <x v="6"/>
    <s v="Instagram"/>
    <n v="369.15"/>
  </r>
  <r>
    <s v="ORD200901"/>
    <s v="C44277"/>
    <x v="2"/>
    <n v="1"/>
    <x v="897"/>
    <s v="839 Main St"/>
    <s v="Debit Card"/>
    <x v="4"/>
    <s v="Referral"/>
    <n v="458.63"/>
  </r>
  <r>
    <s v="ORD200902"/>
    <s v="C61162"/>
    <x v="0"/>
    <n v="4"/>
    <x v="898"/>
    <s v="813 Main St"/>
    <s v="Debit Card"/>
    <x v="0"/>
    <s v="Facebook"/>
    <n v="721"/>
  </r>
  <r>
    <s v="ORD200903"/>
    <s v="C80868"/>
    <x v="0"/>
    <n v="3"/>
    <x v="899"/>
    <s v="205 Main St"/>
    <s v="Credit Card"/>
    <x v="0"/>
    <s v="Email"/>
    <n v="1420.47"/>
  </r>
  <r>
    <s v="ORD200904"/>
    <s v="C16693"/>
    <x v="0"/>
    <n v="4"/>
    <x v="900"/>
    <s v="262 Main St"/>
    <s v="Cash"/>
    <x v="2"/>
    <s v="Referral"/>
    <n v="949.72"/>
  </r>
  <r>
    <s v="ORD200905"/>
    <s v="C67818"/>
    <x v="5"/>
    <n v="1"/>
    <x v="901"/>
    <s v="101 Main St"/>
    <s v="Gift Card"/>
    <x v="5"/>
    <s v="Facebook"/>
    <n v="442.39"/>
  </r>
  <r>
    <s v="ORD200906"/>
    <s v="C49938"/>
    <x v="0"/>
    <n v="1"/>
    <x v="902"/>
    <s v="141 Main St"/>
    <s v="Cash"/>
    <x v="7"/>
    <s v="Email"/>
    <n v="62.12"/>
  </r>
  <r>
    <s v="ORD200907"/>
    <s v="C90898"/>
    <x v="6"/>
    <n v="5"/>
    <x v="903"/>
    <s v="583 Main St"/>
    <s v="Gift Card"/>
    <x v="0"/>
    <s v="Referral"/>
    <n v="1491.95"/>
  </r>
  <r>
    <s v="ORD200908"/>
    <s v="C35117"/>
    <x v="6"/>
    <n v="2"/>
    <x v="904"/>
    <s v="332 Main St"/>
    <s v="Credit Card"/>
    <x v="7"/>
    <s v="Google"/>
    <n v="1395.86"/>
  </r>
  <r>
    <s v="ORD200909"/>
    <s v="C60203"/>
    <x v="2"/>
    <n v="2"/>
    <x v="905"/>
    <s v="569 Main St"/>
    <s v="Cash"/>
    <x v="3"/>
    <s v="Instagram"/>
    <n v="583.70000000000005"/>
  </r>
  <r>
    <s v="ORD200910"/>
    <s v="C36174"/>
    <x v="4"/>
    <n v="3"/>
    <x v="906"/>
    <s v="348 Main St"/>
    <s v="Cash"/>
    <x v="1"/>
    <s v="Instagram"/>
    <n v="926.94"/>
  </r>
  <r>
    <s v="ORD200911"/>
    <s v="C80872"/>
    <x v="6"/>
    <n v="5"/>
    <x v="907"/>
    <s v="593 Main St"/>
    <s v="Cash"/>
    <x v="6"/>
    <s v="Instagram"/>
    <n v="1984.3"/>
  </r>
  <r>
    <s v="ORD200912"/>
    <s v="C67604"/>
    <x v="6"/>
    <n v="2"/>
    <x v="908"/>
    <s v="318 Main St"/>
    <s v="Online"/>
    <x v="0"/>
    <s v="Email"/>
    <n v="279.38"/>
  </r>
  <r>
    <s v="ORD200913"/>
    <s v="C45599"/>
    <x v="4"/>
    <n v="5"/>
    <x v="909"/>
    <s v="505 Main St"/>
    <s v="Credit Card"/>
    <x v="2"/>
    <s v="Facebook"/>
    <n v="2379.75"/>
  </r>
  <r>
    <s v="ORD200914"/>
    <s v="C70352"/>
    <x v="6"/>
    <n v="1"/>
    <x v="910"/>
    <s v="955 Main St"/>
    <s v="Gift Card"/>
    <x v="4"/>
    <s v="Facebook"/>
    <n v="626.6"/>
  </r>
  <r>
    <s v="ORD200915"/>
    <s v="C20643"/>
    <x v="5"/>
    <n v="4"/>
    <x v="911"/>
    <s v="939 Main St"/>
    <s v="Debit Card"/>
    <x v="4"/>
    <s v="Referral"/>
    <n v="2011.96"/>
  </r>
  <r>
    <s v="ORD200916"/>
    <s v="C35669"/>
    <x v="4"/>
    <n v="5"/>
    <x v="912"/>
    <s v="165 Main St"/>
    <s v="Cash"/>
    <x v="5"/>
    <s v="Referral"/>
    <n v="2894.15"/>
  </r>
  <r>
    <s v="ORD200917"/>
    <s v="C65524"/>
    <x v="5"/>
    <n v="5"/>
    <x v="913"/>
    <s v="836 Main St"/>
    <s v="Credit Card"/>
    <x v="0"/>
    <s v="Google"/>
    <n v="1919.1"/>
  </r>
  <r>
    <s v="ORD200918"/>
    <s v="C74359"/>
    <x v="5"/>
    <n v="5"/>
    <x v="914"/>
    <s v="706 Main St"/>
    <s v="Online"/>
    <x v="3"/>
    <s v="Instagram"/>
    <n v="1841.25"/>
  </r>
  <r>
    <s v="ORD200919"/>
    <s v="C92086"/>
    <x v="4"/>
    <n v="2"/>
    <x v="915"/>
    <s v="187 Main St"/>
    <s v="Online"/>
    <x v="1"/>
    <s v="Referral"/>
    <n v="749.2"/>
  </r>
  <r>
    <s v="ORD200920"/>
    <s v="C26137"/>
    <x v="2"/>
    <n v="2"/>
    <x v="916"/>
    <s v="978 Main St"/>
    <s v="Credit Card"/>
    <x v="5"/>
    <s v="Instagram"/>
    <n v="856.18"/>
  </r>
  <r>
    <s v="ORD200921"/>
    <s v="C90573"/>
    <x v="2"/>
    <n v="1"/>
    <x v="917"/>
    <s v="144 Main St"/>
    <s v="Gift Card"/>
    <x v="1"/>
    <s v="Referral"/>
    <n v="438.93"/>
  </r>
  <r>
    <s v="ORD200922"/>
    <s v="C81857"/>
    <x v="6"/>
    <n v="2"/>
    <x v="918"/>
    <s v="487 Main St"/>
    <s v="Credit Card"/>
    <x v="1"/>
    <s v="Instagram"/>
    <n v="1127.6400000000001"/>
  </r>
  <r>
    <s v="ORD200923"/>
    <s v="C91582"/>
    <x v="4"/>
    <n v="3"/>
    <x v="919"/>
    <s v="836 Main St"/>
    <s v="Credit Card"/>
    <x v="0"/>
    <s v="Facebook"/>
    <n v="1949.79"/>
  </r>
  <r>
    <s v="ORD200924"/>
    <s v="C81319"/>
    <x v="4"/>
    <n v="5"/>
    <x v="920"/>
    <s v="991 Main St"/>
    <s v="Cash"/>
    <x v="3"/>
    <s v="Email"/>
    <n v="1342.15"/>
  </r>
  <r>
    <s v="ORD200925"/>
    <s v="C78500"/>
    <x v="0"/>
    <n v="5"/>
    <x v="921"/>
    <s v="304 Main St"/>
    <s v="Online"/>
    <x v="8"/>
    <s v="Email"/>
    <n v="2512.35"/>
  </r>
  <r>
    <s v="ORD200926"/>
    <s v="C67533"/>
    <x v="6"/>
    <n v="1"/>
    <x v="922"/>
    <s v="672 Main St"/>
    <s v="Cash"/>
    <x v="9"/>
    <s v="Email"/>
    <n v="26.95"/>
  </r>
  <r>
    <s v="ORD200927"/>
    <s v="C35566"/>
    <x v="5"/>
    <n v="4"/>
    <x v="923"/>
    <s v="638 Main St"/>
    <s v="Debit Card"/>
    <x v="0"/>
    <s v="Google"/>
    <n v="258.76"/>
  </r>
  <r>
    <s v="ORD200928"/>
    <s v="C77166"/>
    <x v="5"/>
    <n v="3"/>
    <x v="924"/>
    <s v="821 Main St"/>
    <s v="Debit Card"/>
    <x v="1"/>
    <s v="Referral"/>
    <n v="741.33"/>
  </r>
  <r>
    <s v="ORD200929"/>
    <s v="C67936"/>
    <x v="2"/>
    <n v="2"/>
    <x v="925"/>
    <s v="553 Main St"/>
    <s v="Debit Card"/>
    <x v="1"/>
    <s v="Email"/>
    <n v="1072.5"/>
  </r>
  <r>
    <s v="ORD200930"/>
    <s v="C59554"/>
    <x v="1"/>
    <n v="2"/>
    <x v="926"/>
    <s v="382 Main St"/>
    <s v="Debit Card"/>
    <x v="4"/>
    <s v="Email"/>
    <n v="912.08"/>
  </r>
  <r>
    <s v="ORD200931"/>
    <s v="C14005"/>
    <x v="4"/>
    <n v="2"/>
    <x v="927"/>
    <s v="623 Main St"/>
    <s v="Credit Card"/>
    <x v="4"/>
    <s v="Google"/>
    <n v="80.459999999999994"/>
  </r>
  <r>
    <s v="ORD200932"/>
    <s v="C26118"/>
    <x v="5"/>
    <n v="2"/>
    <x v="928"/>
    <s v="168 Main St"/>
    <s v="Online"/>
    <x v="0"/>
    <s v="Instagram"/>
    <n v="144.78"/>
  </r>
  <r>
    <s v="ORD200933"/>
    <s v="C59685"/>
    <x v="0"/>
    <n v="2"/>
    <x v="929"/>
    <s v="255 Main St"/>
    <s v="Online"/>
    <x v="7"/>
    <s v="Referral"/>
    <n v="788.32"/>
  </r>
  <r>
    <s v="ORD200934"/>
    <s v="C40304"/>
    <x v="5"/>
    <n v="4"/>
    <x v="930"/>
    <s v="692 Main St"/>
    <s v="Gift Card"/>
    <x v="2"/>
    <s v="Referral"/>
    <n v="479.36"/>
  </r>
  <r>
    <s v="ORD200935"/>
    <s v="C39593"/>
    <x v="1"/>
    <n v="3"/>
    <x v="931"/>
    <s v="398 Main St"/>
    <s v="Credit Card"/>
    <x v="1"/>
    <s v="Instagram"/>
    <n v="2078.13"/>
  </r>
  <r>
    <s v="ORD200936"/>
    <s v="C50612"/>
    <x v="3"/>
    <n v="4"/>
    <x v="932"/>
    <s v="737 Main St"/>
    <s v="Online"/>
    <x v="4"/>
    <s v="Instagram"/>
    <n v="226.64"/>
  </r>
  <r>
    <s v="ORD200937"/>
    <s v="C39791"/>
    <x v="3"/>
    <n v="2"/>
    <x v="933"/>
    <s v="536 Main St"/>
    <s v="Debit Card"/>
    <x v="3"/>
    <s v="Email"/>
    <n v="597.05999999999995"/>
  </r>
  <r>
    <s v="ORD200938"/>
    <s v="C39017"/>
    <x v="3"/>
    <n v="3"/>
    <x v="934"/>
    <s v="696 Main St"/>
    <s v="Credit Card"/>
    <x v="5"/>
    <s v="Referral"/>
    <n v="994.37999999999988"/>
  </r>
  <r>
    <s v="ORD200939"/>
    <s v="C48510"/>
    <x v="5"/>
    <n v="2"/>
    <x v="935"/>
    <s v="212 Main St"/>
    <s v="Cash"/>
    <x v="0"/>
    <s v="Instagram"/>
    <n v="1042.8"/>
  </r>
  <r>
    <s v="ORD200940"/>
    <s v="C74003"/>
    <x v="4"/>
    <n v="4"/>
    <x v="936"/>
    <s v="679 Main St"/>
    <s v="Online"/>
    <x v="4"/>
    <s v="Google"/>
    <n v="1221.28"/>
  </r>
  <r>
    <s v="ORD200941"/>
    <s v="C91155"/>
    <x v="4"/>
    <n v="5"/>
    <x v="937"/>
    <s v="599 Main St"/>
    <s v="Credit Card"/>
    <x v="6"/>
    <s v="Email"/>
    <n v="558.5"/>
  </r>
  <r>
    <s v="ORD200942"/>
    <s v="C17591"/>
    <x v="2"/>
    <n v="1"/>
    <x v="938"/>
    <s v="882 Main St"/>
    <s v="Credit Card"/>
    <x v="9"/>
    <s v="Email"/>
    <n v="479.76"/>
  </r>
  <r>
    <s v="ORD200943"/>
    <s v="C43330"/>
    <x v="0"/>
    <n v="3"/>
    <x v="939"/>
    <s v="355 Main St"/>
    <s v="Gift Card"/>
    <x v="5"/>
    <s v="Facebook"/>
    <n v="580.47"/>
  </r>
  <r>
    <s v="ORD200944"/>
    <s v="C32687"/>
    <x v="5"/>
    <n v="2"/>
    <x v="940"/>
    <s v="448 Main St"/>
    <s v="Online"/>
    <x v="0"/>
    <s v="Google"/>
    <n v="852.44"/>
  </r>
  <r>
    <s v="ORD200945"/>
    <s v="C79722"/>
    <x v="2"/>
    <n v="5"/>
    <x v="941"/>
    <s v="619 Main St"/>
    <s v="Gift Card"/>
    <x v="8"/>
    <s v="Referral"/>
    <n v="1382.2"/>
  </r>
  <r>
    <s v="ORD200946"/>
    <s v="C65021"/>
    <x v="1"/>
    <n v="2"/>
    <x v="942"/>
    <s v="546 Main St"/>
    <s v="Cash"/>
    <x v="4"/>
    <s v="Email"/>
    <n v="809.92"/>
  </r>
  <r>
    <s v="ORD200947"/>
    <s v="C85520"/>
    <x v="1"/>
    <n v="4"/>
    <x v="943"/>
    <s v="119 Main St"/>
    <s v="Online"/>
    <x v="6"/>
    <s v="Email"/>
    <n v="1862.64"/>
  </r>
  <r>
    <s v="ORD200948"/>
    <s v="C94569"/>
    <x v="1"/>
    <n v="2"/>
    <x v="944"/>
    <s v="739 Main St"/>
    <s v="Gift Card"/>
    <x v="7"/>
    <s v="Google"/>
    <n v="1188.1400000000001"/>
  </r>
  <r>
    <s v="ORD200949"/>
    <s v="C55778"/>
    <x v="6"/>
    <n v="5"/>
    <x v="945"/>
    <s v="319 Main St"/>
    <s v="Cash"/>
    <x v="8"/>
    <s v="Referral"/>
    <n v="551.9"/>
  </r>
  <r>
    <s v="ORD200950"/>
    <s v="C19722"/>
    <x v="5"/>
    <n v="1"/>
    <x v="946"/>
    <s v="891 Main St"/>
    <s v="Credit Card"/>
    <x v="4"/>
    <s v="Instagram"/>
    <n v="596.24"/>
  </r>
  <r>
    <s v="ORD200951"/>
    <s v="C74928"/>
    <x v="4"/>
    <n v="2"/>
    <x v="947"/>
    <s v="589 Main St"/>
    <s v="Online"/>
    <x v="4"/>
    <s v="Email"/>
    <n v="612.48"/>
  </r>
  <r>
    <s v="ORD200952"/>
    <s v="C49111"/>
    <x v="0"/>
    <n v="3"/>
    <x v="948"/>
    <s v="225 Main St"/>
    <s v="Online"/>
    <x v="3"/>
    <s v="Facebook"/>
    <n v="1510.17"/>
  </r>
  <r>
    <s v="ORD200953"/>
    <s v="C43721"/>
    <x v="1"/>
    <n v="1"/>
    <x v="949"/>
    <s v="971 Main St"/>
    <s v="Cash"/>
    <x v="7"/>
    <s v="Facebook"/>
    <n v="131.61000000000001"/>
  </r>
  <r>
    <s v="ORD200954"/>
    <s v="C68609"/>
    <x v="3"/>
    <n v="3"/>
    <x v="950"/>
    <s v="240 Main St"/>
    <s v="Gift Card"/>
    <x v="1"/>
    <s v="Google"/>
    <n v="1330.32"/>
  </r>
  <r>
    <s v="ORD200955"/>
    <s v="C82068"/>
    <x v="3"/>
    <n v="1"/>
    <x v="951"/>
    <s v="164 Main St"/>
    <s v="Gift Card"/>
    <x v="1"/>
    <s v="Instagram"/>
    <n v="408.13"/>
  </r>
  <r>
    <s v="ORD200956"/>
    <s v="C21191"/>
    <x v="1"/>
    <n v="2"/>
    <x v="952"/>
    <s v="381 Main St"/>
    <s v="Debit Card"/>
    <x v="1"/>
    <s v="Referral"/>
    <n v="321.95999999999998"/>
  </r>
  <r>
    <s v="ORD200957"/>
    <s v="C73575"/>
    <x v="0"/>
    <n v="5"/>
    <x v="953"/>
    <s v="851 Main St"/>
    <s v="Cash"/>
    <x v="2"/>
    <s v="Facebook"/>
    <n v="3219.45"/>
  </r>
  <r>
    <s v="ORD200958"/>
    <s v="C82685"/>
    <x v="6"/>
    <n v="3"/>
    <x v="954"/>
    <s v="537 Main St"/>
    <s v="Gift Card"/>
    <x v="0"/>
    <s v="Email"/>
    <n v="475.98"/>
  </r>
  <r>
    <s v="ORD200959"/>
    <s v="C73996"/>
    <x v="2"/>
    <n v="2"/>
    <x v="955"/>
    <s v="856 Main St"/>
    <s v="Credit Card"/>
    <x v="5"/>
    <s v="Instagram"/>
    <n v="287.64"/>
  </r>
  <r>
    <s v="ORD200960"/>
    <s v="C87687"/>
    <x v="5"/>
    <n v="3"/>
    <x v="956"/>
    <s v="312 Main St"/>
    <s v="Gift Card"/>
    <x v="1"/>
    <s v="Google"/>
    <n v="1137.21"/>
  </r>
  <r>
    <s v="ORD200961"/>
    <s v="C55464"/>
    <x v="1"/>
    <n v="1"/>
    <x v="957"/>
    <s v="532 Main St"/>
    <s v="Online"/>
    <x v="9"/>
    <s v="Facebook"/>
    <n v="601.36"/>
  </r>
  <r>
    <s v="ORD200962"/>
    <s v="C12459"/>
    <x v="1"/>
    <n v="2"/>
    <x v="958"/>
    <s v="838 Main St"/>
    <s v="Gift Card"/>
    <x v="4"/>
    <s v="Referral"/>
    <n v="284.16000000000003"/>
  </r>
  <r>
    <s v="ORD200963"/>
    <s v="C88075"/>
    <x v="3"/>
    <n v="5"/>
    <x v="959"/>
    <s v="970 Main St"/>
    <s v="Online"/>
    <x v="6"/>
    <s v="Google"/>
    <n v="2651.7"/>
  </r>
  <r>
    <s v="ORD200964"/>
    <s v="C18583"/>
    <x v="1"/>
    <n v="5"/>
    <x v="960"/>
    <s v="778 Main St"/>
    <s v="Credit Card"/>
    <x v="8"/>
    <s v="Referral"/>
    <n v="1822.1"/>
  </r>
  <r>
    <s v="ORD200965"/>
    <s v="C70412"/>
    <x v="5"/>
    <n v="4"/>
    <x v="961"/>
    <s v="791 Main St"/>
    <s v="Gift Card"/>
    <x v="3"/>
    <s v="Email"/>
    <n v="2313.12"/>
  </r>
  <r>
    <s v="ORD200966"/>
    <s v="C58503"/>
    <x v="0"/>
    <n v="5"/>
    <x v="962"/>
    <s v="290 Main St"/>
    <s v="Credit Card"/>
    <x v="0"/>
    <s v="Facebook"/>
    <n v="1402.6"/>
  </r>
  <r>
    <s v="ORD200967"/>
    <s v="C52879"/>
    <x v="2"/>
    <n v="5"/>
    <x v="963"/>
    <s v="502 Main St"/>
    <s v="Credit Card"/>
    <x v="3"/>
    <s v="Google"/>
    <n v="3194.6"/>
  </r>
  <r>
    <s v="ORD200968"/>
    <s v="C67870"/>
    <x v="0"/>
    <n v="4"/>
    <x v="964"/>
    <s v="664 Main St"/>
    <s v="Credit Card"/>
    <x v="5"/>
    <s v="Referral"/>
    <n v="1648.8"/>
  </r>
  <r>
    <s v="ORD200969"/>
    <s v="C19439"/>
    <x v="6"/>
    <n v="1"/>
    <x v="965"/>
    <s v="675 Main St"/>
    <s v="Gift Card"/>
    <x v="7"/>
    <s v="Facebook"/>
    <n v="440.34"/>
  </r>
  <r>
    <s v="ORD200970"/>
    <s v="C72664"/>
    <x v="6"/>
    <n v="1"/>
    <x v="966"/>
    <s v="241 Main St"/>
    <s v="Cash"/>
    <x v="3"/>
    <s v="Instagram"/>
    <n v="627.15"/>
  </r>
  <r>
    <s v="ORD200971"/>
    <s v="C32650"/>
    <x v="0"/>
    <n v="2"/>
    <x v="967"/>
    <s v="934 Main St"/>
    <s v="Cash"/>
    <x v="4"/>
    <s v="Referral"/>
    <n v="1210.52"/>
  </r>
  <r>
    <s v="ORD200972"/>
    <s v="C66438"/>
    <x v="5"/>
    <n v="1"/>
    <x v="968"/>
    <s v="816 Main St"/>
    <s v="Cash"/>
    <x v="3"/>
    <s v="Facebook"/>
    <n v="90.27"/>
  </r>
  <r>
    <s v="ORD200973"/>
    <s v="C70010"/>
    <x v="6"/>
    <n v="5"/>
    <x v="969"/>
    <s v="141 Main St"/>
    <s v="Online"/>
    <x v="8"/>
    <s v="Referral"/>
    <n v="1153.8499999999999"/>
  </r>
  <r>
    <s v="ORD200974"/>
    <s v="C30722"/>
    <x v="6"/>
    <n v="5"/>
    <x v="970"/>
    <s v="274 Main St"/>
    <s v="Gift Card"/>
    <x v="3"/>
    <s v="Email"/>
    <n v="1333.9"/>
  </r>
  <r>
    <s v="ORD200975"/>
    <s v="C70529"/>
    <x v="6"/>
    <n v="1"/>
    <x v="971"/>
    <s v="974 Main St"/>
    <s v="Gift Card"/>
    <x v="5"/>
    <s v="Email"/>
    <n v="105.92"/>
  </r>
  <r>
    <s v="ORD200976"/>
    <s v="C18984"/>
    <x v="2"/>
    <n v="3"/>
    <x v="972"/>
    <s v="650 Main St"/>
    <s v="Credit Card"/>
    <x v="5"/>
    <s v="Referral"/>
    <n v="1767.9"/>
  </r>
  <r>
    <s v="ORD200977"/>
    <s v="C85841"/>
    <x v="3"/>
    <n v="4"/>
    <x v="973"/>
    <s v="608 Main St"/>
    <s v="Cash"/>
    <x v="2"/>
    <s v="Google"/>
    <n v="2597.88"/>
  </r>
  <r>
    <s v="ORD200978"/>
    <s v="C41508"/>
    <x v="4"/>
    <n v="4"/>
    <x v="974"/>
    <s v="993 Main St"/>
    <s v="Cash"/>
    <x v="3"/>
    <s v="Google"/>
    <n v="429.96"/>
  </r>
  <r>
    <s v="ORD200979"/>
    <s v="C75018"/>
    <x v="0"/>
    <n v="3"/>
    <x v="975"/>
    <s v="299 Main St"/>
    <s v="Cash"/>
    <x v="0"/>
    <s v="Facebook"/>
    <n v="2007.18"/>
  </r>
  <r>
    <s v="ORD200980"/>
    <s v="C84320"/>
    <x v="3"/>
    <n v="3"/>
    <x v="976"/>
    <s v="107 Main St"/>
    <s v="Cash"/>
    <x v="0"/>
    <s v="Instagram"/>
    <n v="208.95"/>
  </r>
  <r>
    <s v="ORD200981"/>
    <s v="C12609"/>
    <x v="1"/>
    <n v="4"/>
    <x v="977"/>
    <s v="490 Main St"/>
    <s v="Debit Card"/>
    <x v="2"/>
    <s v="Email"/>
    <n v="547.32000000000005"/>
  </r>
  <r>
    <s v="ORD200982"/>
    <s v="C64935"/>
    <x v="0"/>
    <n v="1"/>
    <x v="978"/>
    <s v="707 Main St"/>
    <s v="Gift Card"/>
    <x v="7"/>
    <s v="Referral"/>
    <n v="304.11"/>
  </r>
  <r>
    <s v="ORD200983"/>
    <s v="C67528"/>
    <x v="0"/>
    <n v="4"/>
    <x v="979"/>
    <s v="110 Main St"/>
    <s v="Gift Card"/>
    <x v="3"/>
    <s v="Email"/>
    <n v="1185.1199999999999"/>
  </r>
  <r>
    <s v="ORD200984"/>
    <s v="C44176"/>
    <x v="6"/>
    <n v="1"/>
    <x v="980"/>
    <s v="706 Main St"/>
    <s v="Credit Card"/>
    <x v="9"/>
    <s v="Facebook"/>
    <n v="77.64"/>
  </r>
  <r>
    <s v="ORD200985"/>
    <s v="C92788"/>
    <x v="6"/>
    <n v="1"/>
    <x v="981"/>
    <s v="948 Main St"/>
    <s v="Gift Card"/>
    <x v="5"/>
    <s v="Google"/>
    <n v="243.71"/>
  </r>
  <r>
    <s v="ORD200986"/>
    <s v="C69213"/>
    <x v="5"/>
    <n v="4"/>
    <x v="982"/>
    <s v="533 Main St"/>
    <s v="Credit Card"/>
    <x v="0"/>
    <s v="Email"/>
    <n v="2579.84"/>
  </r>
  <r>
    <s v="ORD200987"/>
    <s v="C67387"/>
    <x v="1"/>
    <n v="5"/>
    <x v="983"/>
    <s v="436 Main St"/>
    <s v="Gift Card"/>
    <x v="2"/>
    <s v="Instagram"/>
    <n v="1418.65"/>
  </r>
  <r>
    <s v="ORD200988"/>
    <s v="C90318"/>
    <x v="6"/>
    <n v="2"/>
    <x v="984"/>
    <s v="818 Main St"/>
    <s v="Gift Card"/>
    <x v="3"/>
    <s v="Instagram"/>
    <n v="1259.1199999999999"/>
  </r>
  <r>
    <s v="ORD200989"/>
    <s v="C49995"/>
    <x v="5"/>
    <n v="4"/>
    <x v="985"/>
    <s v="559 Main St"/>
    <s v="Credit Card"/>
    <x v="4"/>
    <s v="Instagram"/>
    <n v="984.44"/>
  </r>
  <r>
    <s v="ORD200990"/>
    <s v="C52313"/>
    <x v="1"/>
    <n v="2"/>
    <x v="986"/>
    <s v="913 Main St"/>
    <s v="Debit Card"/>
    <x v="7"/>
    <s v="Google"/>
    <n v="836.52"/>
  </r>
  <r>
    <s v="ORD200991"/>
    <s v="C10211"/>
    <x v="6"/>
    <n v="5"/>
    <x v="66"/>
    <s v="598 Main St"/>
    <s v="Debit Card"/>
    <x v="8"/>
    <s v="Google"/>
    <n v="635.90000000000009"/>
  </r>
  <r>
    <s v="ORD200992"/>
    <s v="C97907"/>
    <x v="4"/>
    <n v="3"/>
    <x v="987"/>
    <s v="933 Main St"/>
    <s v="Gift Card"/>
    <x v="4"/>
    <s v="Referral"/>
    <n v="1758.63"/>
  </r>
  <r>
    <s v="ORD200993"/>
    <s v="C61384"/>
    <x v="0"/>
    <n v="3"/>
    <x v="988"/>
    <s v="576 Main St"/>
    <s v="Gift Card"/>
    <x v="3"/>
    <s v="Instagram"/>
    <n v="802.34999999999991"/>
  </r>
  <r>
    <s v="ORD200994"/>
    <s v="C27613"/>
    <x v="2"/>
    <n v="4"/>
    <x v="989"/>
    <s v="971 Main St"/>
    <s v="Debit Card"/>
    <x v="6"/>
    <s v="Google"/>
    <n v="2462.6"/>
  </r>
  <r>
    <s v="ORD200995"/>
    <s v="C99271"/>
    <x v="0"/>
    <n v="2"/>
    <x v="990"/>
    <s v="959 Main St"/>
    <s v="Cash"/>
    <x v="3"/>
    <s v="Facebook"/>
    <n v="226.58"/>
  </r>
  <r>
    <s v="ORD200996"/>
    <s v="C28648"/>
    <x v="0"/>
    <n v="4"/>
    <x v="991"/>
    <s v="101 Main St"/>
    <s v="Debit Card"/>
    <x v="0"/>
    <s v="Facebook"/>
    <n v="1895.44"/>
  </r>
  <r>
    <s v="ORD200997"/>
    <s v="C26210"/>
    <x v="5"/>
    <n v="3"/>
    <x v="992"/>
    <s v="805 Main St"/>
    <s v="Cash"/>
    <x v="5"/>
    <s v="Facebook"/>
    <n v="1334.25"/>
  </r>
  <r>
    <s v="ORD200998"/>
    <s v="C90350"/>
    <x v="1"/>
    <n v="2"/>
    <x v="358"/>
    <s v="783 Main St"/>
    <s v="Debit Card"/>
    <x v="5"/>
    <s v="Google"/>
    <n v="367.34"/>
  </r>
  <r>
    <s v="ORD200999"/>
    <s v="C61957"/>
    <x v="4"/>
    <n v="1"/>
    <x v="993"/>
    <s v="652 Main St"/>
    <s v="Cash"/>
    <x v="5"/>
    <s v="Google"/>
    <n v="483.38"/>
  </r>
  <r>
    <s v="ORD201000"/>
    <s v="C90132"/>
    <x v="4"/>
    <n v="5"/>
    <x v="994"/>
    <s v="582 Main St"/>
    <s v="Online"/>
    <x v="6"/>
    <s v="Email"/>
    <n v="1304.6500000000001"/>
  </r>
  <r>
    <s v="ORD201001"/>
    <s v="C31371"/>
    <x v="4"/>
    <n v="2"/>
    <x v="995"/>
    <s v="122 Main St"/>
    <s v="Gift Card"/>
    <x v="5"/>
    <s v="Referral"/>
    <n v="507.36"/>
  </r>
  <r>
    <s v="ORD201002"/>
    <s v="C83911"/>
    <x v="2"/>
    <n v="4"/>
    <x v="996"/>
    <s v="944 Main St"/>
    <s v="Cash"/>
    <x v="3"/>
    <s v="Referral"/>
    <n v="2799.52"/>
  </r>
  <r>
    <s v="ORD201003"/>
    <s v="C84700"/>
    <x v="4"/>
    <n v="5"/>
    <x v="997"/>
    <s v="582 Main St"/>
    <s v="Cash"/>
    <x v="0"/>
    <s v="Google"/>
    <n v="1599.85"/>
  </r>
  <r>
    <s v="ORD201004"/>
    <s v="C87529"/>
    <x v="3"/>
    <n v="4"/>
    <x v="998"/>
    <s v="296 Main St"/>
    <s v="Online"/>
    <x v="2"/>
    <s v="Referral"/>
    <n v="987.64"/>
  </r>
  <r>
    <s v="ORD201005"/>
    <s v="C38065"/>
    <x v="4"/>
    <n v="3"/>
    <x v="999"/>
    <s v="426 Main St"/>
    <s v="Credit Card"/>
    <x v="5"/>
    <s v="Google"/>
    <n v="1178.55"/>
  </r>
  <r>
    <s v="ORD201006"/>
    <s v="C27435"/>
    <x v="2"/>
    <n v="5"/>
    <x v="1000"/>
    <s v="860 Main St"/>
    <s v="Cash"/>
    <x v="0"/>
    <s v="Facebook"/>
    <n v="2104.9"/>
  </r>
  <r>
    <s v="ORD201007"/>
    <s v="C46651"/>
    <x v="0"/>
    <n v="2"/>
    <x v="1001"/>
    <s v="839 Main St"/>
    <s v="Cash"/>
    <x v="4"/>
    <s v="Facebook"/>
    <n v="146.52000000000001"/>
  </r>
  <r>
    <s v="ORD201008"/>
    <s v="C62557"/>
    <x v="0"/>
    <n v="3"/>
    <x v="1002"/>
    <s v="257 Main St"/>
    <s v="Cash"/>
    <x v="2"/>
    <s v="Instagram"/>
    <n v="1232.6400000000001"/>
  </r>
  <r>
    <s v="ORD201009"/>
    <s v="C54494"/>
    <x v="2"/>
    <n v="2"/>
    <x v="1003"/>
    <s v="696 Main St"/>
    <s v="Credit Card"/>
    <x v="7"/>
    <s v="Email"/>
    <n v="352.92"/>
  </r>
  <r>
    <s v="ORD201010"/>
    <s v="C33729"/>
    <x v="0"/>
    <n v="3"/>
    <x v="1004"/>
    <s v="533 Main St"/>
    <s v="Credit Card"/>
    <x v="5"/>
    <s v="Email"/>
    <n v="1978.71"/>
  </r>
  <r>
    <s v="ORD201011"/>
    <s v="C47823"/>
    <x v="1"/>
    <n v="2"/>
    <x v="1005"/>
    <s v="654 Main St"/>
    <s v="Online"/>
    <x v="1"/>
    <s v="Google"/>
    <n v="956.72"/>
  </r>
  <r>
    <s v="ORD201012"/>
    <s v="C84570"/>
    <x v="4"/>
    <n v="4"/>
    <x v="1006"/>
    <s v="301 Main St"/>
    <s v="Online"/>
    <x v="5"/>
    <s v="Facebook"/>
    <n v="120.2"/>
  </r>
  <r>
    <s v="ORD201013"/>
    <s v="C91123"/>
    <x v="5"/>
    <n v="4"/>
    <x v="1007"/>
    <s v="842 Main St"/>
    <s v="Cash"/>
    <x v="6"/>
    <s v="Facebook"/>
    <n v="1202.24"/>
  </r>
  <r>
    <s v="ORD201014"/>
    <s v="C92548"/>
    <x v="2"/>
    <n v="5"/>
    <x v="1008"/>
    <s v="160 Main St"/>
    <s v="Debit Card"/>
    <x v="5"/>
    <s v="Email"/>
    <n v="1132.25"/>
  </r>
  <r>
    <s v="ORD201015"/>
    <s v="C97454"/>
    <x v="4"/>
    <n v="2"/>
    <x v="1009"/>
    <s v="892 Main St"/>
    <s v="Online"/>
    <x v="7"/>
    <s v="Instagram"/>
    <n v="698.8"/>
  </r>
  <r>
    <s v="ORD201016"/>
    <s v="C20257"/>
    <x v="2"/>
    <n v="5"/>
    <x v="1010"/>
    <s v="669 Main St"/>
    <s v="Debit Card"/>
    <x v="0"/>
    <s v="Email"/>
    <n v="1343.9"/>
  </r>
  <r>
    <s v="ORD201017"/>
    <s v="C51694"/>
    <x v="3"/>
    <n v="2"/>
    <x v="1011"/>
    <s v="953 Main St"/>
    <s v="Gift Card"/>
    <x v="5"/>
    <s v="Referral"/>
    <n v="1361.7"/>
  </r>
  <r>
    <s v="ORD201018"/>
    <s v="C77499"/>
    <x v="5"/>
    <n v="3"/>
    <x v="1012"/>
    <s v="209 Main St"/>
    <s v="Cash"/>
    <x v="1"/>
    <s v="Instagram"/>
    <n v="547.43999999999994"/>
  </r>
  <r>
    <s v="ORD201019"/>
    <s v="C28386"/>
    <x v="6"/>
    <n v="1"/>
    <x v="1013"/>
    <s v="293 Main St"/>
    <s v="Cash"/>
    <x v="7"/>
    <s v="Referral"/>
    <n v="277.08999999999997"/>
  </r>
  <r>
    <s v="ORD201020"/>
    <s v="C50211"/>
    <x v="2"/>
    <n v="2"/>
    <x v="1014"/>
    <s v="312 Main St"/>
    <s v="Online"/>
    <x v="1"/>
    <s v="Instagram"/>
    <n v="53"/>
  </r>
  <r>
    <s v="ORD201021"/>
    <s v="C74519"/>
    <x v="1"/>
    <n v="3"/>
    <x v="1015"/>
    <s v="309 Main St"/>
    <s v="Credit Card"/>
    <x v="4"/>
    <s v="Email"/>
    <n v="945.81"/>
  </r>
  <r>
    <s v="ORD201022"/>
    <s v="C19071"/>
    <x v="2"/>
    <n v="3"/>
    <x v="1016"/>
    <s v="396 Main St"/>
    <s v="Credit Card"/>
    <x v="2"/>
    <s v="Referral"/>
    <n v="1352.94"/>
  </r>
  <r>
    <s v="ORD201023"/>
    <s v="C65251"/>
    <x v="5"/>
    <n v="5"/>
    <x v="1017"/>
    <s v="291 Main St"/>
    <s v="Cash"/>
    <x v="8"/>
    <s v="Referral"/>
    <n v="1168.3499999999999"/>
  </r>
  <r>
    <s v="ORD201024"/>
    <s v="C90612"/>
    <x v="3"/>
    <n v="3"/>
    <x v="1018"/>
    <s v="731 Main St"/>
    <s v="Cash"/>
    <x v="0"/>
    <s v="Facebook"/>
    <n v="1103.25"/>
  </r>
  <r>
    <s v="ORD201025"/>
    <s v="C28406"/>
    <x v="3"/>
    <n v="1"/>
    <x v="1019"/>
    <s v="174 Main St"/>
    <s v="Gift Card"/>
    <x v="7"/>
    <s v="Instagram"/>
    <n v="23.53"/>
  </r>
  <r>
    <s v="ORD201026"/>
    <s v="C55454"/>
    <x v="0"/>
    <n v="1"/>
    <x v="1020"/>
    <s v="807 Main St"/>
    <s v="Online"/>
    <x v="9"/>
    <s v="Facebook"/>
    <n v="677.48"/>
  </r>
  <r>
    <s v="ORD201027"/>
    <s v="C93467"/>
    <x v="5"/>
    <n v="4"/>
    <x v="1021"/>
    <s v="983 Main St"/>
    <s v="Cash"/>
    <x v="5"/>
    <s v="Google"/>
    <n v="2219.3200000000002"/>
  </r>
  <r>
    <s v="ORD201028"/>
    <s v="C60042"/>
    <x v="6"/>
    <n v="4"/>
    <x v="1022"/>
    <s v="610 Main St"/>
    <s v="Cash"/>
    <x v="5"/>
    <s v="Instagram"/>
    <n v="1761.24"/>
  </r>
  <r>
    <s v="ORD201029"/>
    <s v="C44733"/>
    <x v="6"/>
    <n v="1"/>
    <x v="1023"/>
    <s v="851 Main St"/>
    <s v="Credit Card"/>
    <x v="4"/>
    <s v="Email"/>
    <n v="87.06"/>
  </r>
  <r>
    <s v="ORD201030"/>
    <s v="C61773"/>
    <x v="1"/>
    <n v="4"/>
    <x v="1024"/>
    <s v="176 Main St"/>
    <s v="Credit Card"/>
    <x v="5"/>
    <s v="Email"/>
    <n v="981.12"/>
  </r>
  <r>
    <s v="ORD201031"/>
    <s v="C59183"/>
    <x v="1"/>
    <n v="5"/>
    <x v="1025"/>
    <s v="136 Main St"/>
    <s v="Debit Card"/>
    <x v="2"/>
    <s v="Email"/>
    <n v="3322.55"/>
  </r>
  <r>
    <s v="ORD201032"/>
    <s v="C26188"/>
    <x v="3"/>
    <n v="1"/>
    <x v="1026"/>
    <s v="990 Main St"/>
    <s v="Online"/>
    <x v="5"/>
    <s v="Referral"/>
    <n v="618.67999999999995"/>
  </r>
  <r>
    <s v="ORD201033"/>
    <s v="C20338"/>
    <x v="0"/>
    <n v="1"/>
    <x v="1027"/>
    <s v="331 Main St"/>
    <s v="Gift Card"/>
    <x v="7"/>
    <s v="Referral"/>
    <n v="370.85"/>
  </r>
  <r>
    <s v="ORD201034"/>
    <s v="C84524"/>
    <x v="4"/>
    <n v="4"/>
    <x v="1028"/>
    <s v="766 Main St"/>
    <s v="Cash"/>
    <x v="2"/>
    <s v="Facebook"/>
    <n v="2071.92"/>
  </r>
  <r>
    <s v="ORD201035"/>
    <s v="C70315"/>
    <x v="5"/>
    <n v="4"/>
    <x v="1029"/>
    <s v="911 Main St"/>
    <s v="Cash"/>
    <x v="3"/>
    <s v="Referral"/>
    <n v="2024.44"/>
  </r>
  <r>
    <s v="ORD201036"/>
    <s v="C98278"/>
    <x v="1"/>
    <n v="3"/>
    <x v="1030"/>
    <s v="552 Main St"/>
    <s v="Gift Card"/>
    <x v="2"/>
    <s v="Facebook"/>
    <n v="1241.49"/>
  </r>
  <r>
    <s v="ORD201037"/>
    <s v="C32347"/>
    <x v="4"/>
    <n v="1"/>
    <x v="1031"/>
    <s v="408 Main St"/>
    <s v="Cash"/>
    <x v="9"/>
    <s v="Google"/>
    <n v="249.81"/>
  </r>
  <r>
    <s v="ORD201038"/>
    <s v="C77961"/>
    <x v="2"/>
    <n v="3"/>
    <x v="1032"/>
    <s v="422 Main St"/>
    <s v="Debit Card"/>
    <x v="3"/>
    <s v="Facebook"/>
    <n v="1087.5899999999999"/>
  </r>
  <r>
    <s v="ORD201039"/>
    <s v="C49137"/>
    <x v="6"/>
    <n v="2"/>
    <x v="1033"/>
    <s v="177 Main St"/>
    <s v="Credit Card"/>
    <x v="7"/>
    <s v="Instagram"/>
    <n v="598.46"/>
  </r>
  <r>
    <s v="ORD201040"/>
    <s v="C13169"/>
    <x v="2"/>
    <n v="1"/>
    <x v="1034"/>
    <s v="932 Main St"/>
    <s v="Debit Card"/>
    <x v="3"/>
    <s v="Google"/>
    <n v="536.07000000000005"/>
  </r>
  <r>
    <s v="ORD201041"/>
    <s v="C21167"/>
    <x v="0"/>
    <n v="4"/>
    <x v="1035"/>
    <s v="948 Main St"/>
    <s v="Gift Card"/>
    <x v="6"/>
    <s v="Google"/>
    <n v="2235.6"/>
  </r>
  <r>
    <s v="ORD201042"/>
    <s v="C59724"/>
    <x v="2"/>
    <n v="2"/>
    <x v="1036"/>
    <s v="414 Main St"/>
    <s v="Debit Card"/>
    <x v="7"/>
    <s v="Facebook"/>
    <n v="819.5"/>
  </r>
  <r>
    <s v="ORD201043"/>
    <s v="C43965"/>
    <x v="2"/>
    <n v="2"/>
    <x v="1037"/>
    <s v="675 Main St"/>
    <s v="Gift Card"/>
    <x v="3"/>
    <s v="Instagram"/>
    <n v="359.92"/>
  </r>
  <r>
    <s v="ORD201044"/>
    <s v="C63018"/>
    <x v="4"/>
    <n v="1"/>
    <x v="1038"/>
    <s v="215 Main St"/>
    <s v="Credit Card"/>
    <x v="4"/>
    <s v="Referral"/>
    <n v="38.49"/>
  </r>
  <r>
    <s v="ORD201045"/>
    <s v="C11893"/>
    <x v="5"/>
    <n v="5"/>
    <x v="1039"/>
    <s v="671 Main St"/>
    <s v="Gift Card"/>
    <x v="0"/>
    <s v="Email"/>
    <n v="1582"/>
  </r>
  <r>
    <s v="ORD201046"/>
    <s v="C85421"/>
    <x v="2"/>
    <n v="3"/>
    <x v="1040"/>
    <s v="466 Main St"/>
    <s v="Online"/>
    <x v="4"/>
    <s v="Instagram"/>
    <n v="1641.45"/>
  </r>
  <r>
    <s v="ORD201047"/>
    <s v="C81726"/>
    <x v="3"/>
    <n v="4"/>
    <x v="1041"/>
    <s v="394 Main St"/>
    <s v="Gift Card"/>
    <x v="5"/>
    <s v="Referral"/>
    <n v="2161.36"/>
  </r>
  <r>
    <s v="ORD201048"/>
    <s v="C57601"/>
    <x v="0"/>
    <n v="4"/>
    <x v="1042"/>
    <s v="889 Main St"/>
    <s v="Debit Card"/>
    <x v="6"/>
    <s v="Google"/>
    <n v="294.60000000000002"/>
  </r>
  <r>
    <s v="ORD201049"/>
    <s v="C60575"/>
    <x v="6"/>
    <n v="5"/>
    <x v="1043"/>
    <s v="587 Main St"/>
    <s v="Credit Card"/>
    <x v="5"/>
    <s v="Instagram"/>
    <n v="1959.3"/>
  </r>
  <r>
    <s v="ORD201050"/>
    <s v="C70659"/>
    <x v="5"/>
    <n v="5"/>
    <x v="1044"/>
    <s v="722 Main St"/>
    <s v="Online"/>
    <x v="6"/>
    <s v="Instagram"/>
    <n v="348.5"/>
  </r>
  <r>
    <s v="ORD201051"/>
    <s v="C35043"/>
    <x v="0"/>
    <n v="5"/>
    <x v="1045"/>
    <s v="820 Main St"/>
    <s v="Gift Card"/>
    <x v="3"/>
    <s v="Facebook"/>
    <n v="132.15"/>
  </r>
  <r>
    <s v="ORD201052"/>
    <s v="C12301"/>
    <x v="2"/>
    <n v="1"/>
    <x v="1046"/>
    <s v="493 Main St"/>
    <s v="Online"/>
    <x v="9"/>
    <s v="Google"/>
    <n v="531.74"/>
  </r>
  <r>
    <s v="ORD201053"/>
    <s v="C32798"/>
    <x v="1"/>
    <n v="2"/>
    <x v="1047"/>
    <s v="679 Main St"/>
    <s v="Online"/>
    <x v="7"/>
    <s v="Instagram"/>
    <n v="993.24"/>
  </r>
  <r>
    <s v="ORD201054"/>
    <s v="C42949"/>
    <x v="4"/>
    <n v="1"/>
    <x v="1048"/>
    <s v="447 Main St"/>
    <s v="Debit Card"/>
    <x v="1"/>
    <s v="Instagram"/>
    <n v="660.66"/>
  </r>
  <r>
    <s v="ORD201055"/>
    <s v="C10787"/>
    <x v="0"/>
    <n v="4"/>
    <x v="1049"/>
    <s v="932 Main St"/>
    <s v="Debit Card"/>
    <x v="6"/>
    <s v="Email"/>
    <n v="1099.28"/>
  </r>
  <r>
    <s v="ORD201056"/>
    <s v="C26152"/>
    <x v="1"/>
    <n v="2"/>
    <x v="1050"/>
    <s v="790 Main St"/>
    <s v="Online"/>
    <x v="5"/>
    <s v="Referral"/>
    <n v="972.7"/>
  </r>
  <r>
    <s v="ORD201057"/>
    <s v="C46210"/>
    <x v="5"/>
    <n v="3"/>
    <x v="1051"/>
    <s v="535 Main St"/>
    <s v="Debit Card"/>
    <x v="1"/>
    <s v="Facebook"/>
    <n v="1286.6400000000001"/>
  </r>
  <r>
    <s v="ORD201058"/>
    <s v="C32943"/>
    <x v="6"/>
    <n v="2"/>
    <x v="1052"/>
    <s v="127 Main St"/>
    <s v="Credit Card"/>
    <x v="7"/>
    <s v="Instagram"/>
    <n v="824.28"/>
  </r>
  <r>
    <s v="ORD201059"/>
    <s v="C73629"/>
    <x v="6"/>
    <n v="1"/>
    <x v="1053"/>
    <s v="601 Main St"/>
    <s v="Credit Card"/>
    <x v="1"/>
    <s v="Instagram"/>
    <n v="265.64"/>
  </r>
  <r>
    <s v="ORD201060"/>
    <s v="C38024"/>
    <x v="2"/>
    <n v="2"/>
    <x v="1054"/>
    <s v="824 Main St"/>
    <s v="Cash"/>
    <x v="0"/>
    <s v="Referral"/>
    <n v="546.86"/>
  </r>
  <r>
    <s v="ORD201061"/>
    <s v="C25445"/>
    <x v="5"/>
    <n v="5"/>
    <x v="1055"/>
    <s v="830 Main St"/>
    <s v="Cash"/>
    <x v="2"/>
    <s v="Google"/>
    <n v="658.5"/>
  </r>
  <r>
    <s v="ORD201062"/>
    <s v="C13501"/>
    <x v="3"/>
    <n v="5"/>
    <x v="1056"/>
    <s v="301 Main St"/>
    <s v="Gift Card"/>
    <x v="3"/>
    <s v="Facebook"/>
    <n v="427.6"/>
  </r>
  <r>
    <s v="ORD201063"/>
    <s v="C42108"/>
    <x v="6"/>
    <n v="2"/>
    <x v="1057"/>
    <s v="336 Main St"/>
    <s v="Credit Card"/>
    <x v="3"/>
    <s v="Referral"/>
    <n v="641.36"/>
  </r>
  <r>
    <s v="ORD201064"/>
    <s v="C32121"/>
    <x v="5"/>
    <n v="4"/>
    <x v="1058"/>
    <s v="654 Main St"/>
    <s v="Cash"/>
    <x v="6"/>
    <s v="Referral"/>
    <n v="795.24"/>
  </r>
  <r>
    <s v="ORD201065"/>
    <s v="C47778"/>
    <x v="4"/>
    <n v="5"/>
    <x v="1059"/>
    <s v="488 Main St"/>
    <s v="Debit Card"/>
    <x v="0"/>
    <s v="Referral"/>
    <n v="3334"/>
  </r>
  <r>
    <s v="ORD201066"/>
    <s v="C10791"/>
    <x v="6"/>
    <n v="1"/>
    <x v="1060"/>
    <s v="674 Main St"/>
    <s v="Debit Card"/>
    <x v="3"/>
    <s v="Instagram"/>
    <n v="355.09"/>
  </r>
  <r>
    <s v="ORD201067"/>
    <s v="C78959"/>
    <x v="1"/>
    <n v="2"/>
    <x v="1061"/>
    <s v="384 Main St"/>
    <s v="Online"/>
    <x v="7"/>
    <s v="Instagram"/>
    <n v="632.4"/>
  </r>
  <r>
    <s v="ORD201068"/>
    <s v="C29914"/>
    <x v="5"/>
    <n v="1"/>
    <x v="871"/>
    <s v="469 Main St"/>
    <s v="Debit Card"/>
    <x v="7"/>
    <s v="Referral"/>
    <n v="133.38999999999999"/>
  </r>
  <r>
    <s v="ORD201069"/>
    <s v="C70506"/>
    <x v="0"/>
    <n v="1"/>
    <x v="1062"/>
    <s v="255 Main St"/>
    <s v="Gift Card"/>
    <x v="1"/>
    <s v="Facebook"/>
    <n v="454.23"/>
  </r>
  <r>
    <s v="ORD201070"/>
    <s v="C46873"/>
    <x v="6"/>
    <n v="4"/>
    <x v="1063"/>
    <s v="496 Main St"/>
    <s v="Debit Card"/>
    <x v="5"/>
    <s v="Email"/>
    <n v="1965.16"/>
  </r>
  <r>
    <s v="ORD201071"/>
    <s v="C94037"/>
    <x v="1"/>
    <n v="2"/>
    <x v="1064"/>
    <s v="216 Main St"/>
    <s v="Cash"/>
    <x v="7"/>
    <s v="Google"/>
    <n v="510.28"/>
  </r>
  <r>
    <s v="ORD201072"/>
    <s v="C88644"/>
    <x v="0"/>
    <n v="1"/>
    <x v="1065"/>
    <s v="977 Main St"/>
    <s v="Gift Card"/>
    <x v="4"/>
    <s v="Referral"/>
    <n v="392.61"/>
  </r>
  <r>
    <s v="ORD201073"/>
    <s v="C69471"/>
    <x v="2"/>
    <n v="4"/>
    <x v="1066"/>
    <s v="294 Main St"/>
    <s v="Debit Card"/>
    <x v="4"/>
    <s v="Facebook"/>
    <n v="1448.24"/>
  </r>
  <r>
    <s v="ORD201074"/>
    <s v="C21437"/>
    <x v="1"/>
    <n v="1"/>
    <x v="1067"/>
    <s v="120 Main St"/>
    <s v="Online"/>
    <x v="4"/>
    <s v="Google"/>
    <n v="222.73"/>
  </r>
  <r>
    <s v="ORD201075"/>
    <s v="C40949"/>
    <x v="0"/>
    <n v="2"/>
    <x v="1068"/>
    <s v="609 Main St"/>
    <s v="Debit Card"/>
    <x v="0"/>
    <s v="Instagram"/>
    <n v="1105.26"/>
  </r>
  <r>
    <s v="ORD201076"/>
    <s v="C99116"/>
    <x v="5"/>
    <n v="4"/>
    <x v="1069"/>
    <s v="176 Main St"/>
    <s v="Cash"/>
    <x v="5"/>
    <s v="Referral"/>
    <n v="2746.44"/>
  </r>
  <r>
    <s v="ORD201077"/>
    <s v="C57861"/>
    <x v="4"/>
    <n v="3"/>
    <x v="1070"/>
    <s v="115 Main St"/>
    <s v="Credit Card"/>
    <x v="2"/>
    <s v="Referral"/>
    <n v="915.48"/>
  </r>
  <r>
    <s v="ORD201078"/>
    <s v="C62627"/>
    <x v="6"/>
    <n v="1"/>
    <x v="1071"/>
    <s v="881 Main St"/>
    <s v="Online"/>
    <x v="4"/>
    <s v="Email"/>
    <n v="41.09"/>
  </r>
  <r>
    <s v="ORD201079"/>
    <s v="C89979"/>
    <x v="1"/>
    <n v="5"/>
    <x v="1072"/>
    <s v="144 Main St"/>
    <s v="Gift Card"/>
    <x v="2"/>
    <s v="Email"/>
    <n v="3170"/>
  </r>
  <r>
    <s v="ORD201080"/>
    <s v="C70613"/>
    <x v="5"/>
    <n v="5"/>
    <x v="1073"/>
    <s v="438 Main St"/>
    <s v="Gift Card"/>
    <x v="0"/>
    <s v="Referral"/>
    <n v="2323.6999999999998"/>
  </r>
  <r>
    <s v="ORD201081"/>
    <s v="C55636"/>
    <x v="0"/>
    <n v="4"/>
    <x v="1074"/>
    <s v="494 Main St"/>
    <s v="Credit Card"/>
    <x v="3"/>
    <s v="Google"/>
    <n v="1702.4"/>
  </r>
  <r>
    <s v="ORD201082"/>
    <s v="C96595"/>
    <x v="3"/>
    <n v="3"/>
    <x v="1075"/>
    <s v="177 Main St"/>
    <s v="Debit Card"/>
    <x v="3"/>
    <s v="Email"/>
    <n v="1719.66"/>
  </r>
  <r>
    <s v="ORD201083"/>
    <s v="C68508"/>
    <x v="3"/>
    <n v="1"/>
    <x v="1076"/>
    <s v="895 Main St"/>
    <s v="Credit Card"/>
    <x v="1"/>
    <s v="Email"/>
    <n v="123.28"/>
  </r>
  <r>
    <s v="ORD201084"/>
    <s v="C45175"/>
    <x v="1"/>
    <n v="1"/>
    <x v="1077"/>
    <s v="128 Main St"/>
    <s v="Gift Card"/>
    <x v="9"/>
    <s v="Instagram"/>
    <n v="70.819999999999993"/>
  </r>
  <r>
    <s v="ORD201085"/>
    <s v="C28049"/>
    <x v="4"/>
    <n v="2"/>
    <x v="1078"/>
    <s v="404 Main St"/>
    <s v="Debit Card"/>
    <x v="0"/>
    <s v="Instagram"/>
    <n v="1293.3800000000001"/>
  </r>
  <r>
    <s v="ORD201086"/>
    <s v="C46967"/>
    <x v="2"/>
    <n v="2"/>
    <x v="1079"/>
    <s v="401 Main St"/>
    <s v="Online"/>
    <x v="3"/>
    <s v="Instagram"/>
    <n v="1026.8399999999999"/>
  </r>
  <r>
    <s v="ORD201087"/>
    <s v="C84134"/>
    <x v="5"/>
    <n v="4"/>
    <x v="1080"/>
    <s v="530 Main St"/>
    <s v="Online"/>
    <x v="2"/>
    <s v="Instagram"/>
    <n v="2772.28"/>
  </r>
  <r>
    <s v="ORD201088"/>
    <s v="C49831"/>
    <x v="6"/>
    <n v="3"/>
    <x v="1081"/>
    <s v="213 Main St"/>
    <s v="Gift Card"/>
    <x v="5"/>
    <s v="Instagram"/>
    <n v="1474.29"/>
  </r>
  <r>
    <s v="ORD201089"/>
    <s v="C13324"/>
    <x v="2"/>
    <n v="2"/>
    <x v="1082"/>
    <s v="440 Main St"/>
    <s v="Gift Card"/>
    <x v="7"/>
    <s v="Instagram"/>
    <n v="1199.48"/>
  </r>
  <r>
    <s v="ORD201090"/>
    <s v="C61225"/>
    <x v="0"/>
    <n v="2"/>
    <x v="1083"/>
    <s v="996 Main St"/>
    <s v="Gift Card"/>
    <x v="5"/>
    <s v="Instagram"/>
    <n v="1300.5"/>
  </r>
  <r>
    <s v="ORD201091"/>
    <s v="C16400"/>
    <x v="5"/>
    <n v="3"/>
    <x v="1084"/>
    <s v="123 Main St"/>
    <s v="Debit Card"/>
    <x v="4"/>
    <s v="Email"/>
    <n v="628.43999999999994"/>
  </r>
  <r>
    <s v="ORD201092"/>
    <s v="C38642"/>
    <x v="5"/>
    <n v="5"/>
    <x v="1085"/>
    <s v="930 Main St"/>
    <s v="Debit Card"/>
    <x v="5"/>
    <s v="Email"/>
    <n v="1046"/>
  </r>
  <r>
    <s v="ORD201093"/>
    <s v="C86773"/>
    <x v="1"/>
    <n v="4"/>
    <x v="1086"/>
    <s v="557 Main St"/>
    <s v="Gift Card"/>
    <x v="6"/>
    <s v="Instagram"/>
    <n v="789.44"/>
  </r>
  <r>
    <s v="ORD201094"/>
    <s v="C66093"/>
    <x v="4"/>
    <n v="4"/>
    <x v="1087"/>
    <s v="615 Main St"/>
    <s v="Credit Card"/>
    <x v="5"/>
    <s v="Instagram"/>
    <n v="2595.64"/>
  </r>
  <r>
    <s v="ORD201095"/>
    <s v="C33051"/>
    <x v="1"/>
    <n v="2"/>
    <x v="1088"/>
    <s v="397 Main St"/>
    <s v="Online"/>
    <x v="7"/>
    <s v="Email"/>
    <n v="883.08"/>
  </r>
  <r>
    <s v="ORD201096"/>
    <s v="C18169"/>
    <x v="2"/>
    <n v="2"/>
    <x v="1089"/>
    <s v="782 Main St"/>
    <s v="Debit Card"/>
    <x v="7"/>
    <s v="Facebook"/>
    <n v="929.84"/>
  </r>
  <r>
    <s v="ORD201097"/>
    <s v="C81370"/>
    <x v="0"/>
    <n v="5"/>
    <x v="1090"/>
    <s v="344 Main St"/>
    <s v="Gift Card"/>
    <x v="0"/>
    <s v="Google"/>
    <n v="2532.25"/>
  </r>
  <r>
    <s v="ORD201098"/>
    <s v="C91103"/>
    <x v="0"/>
    <n v="4"/>
    <x v="1091"/>
    <s v="155 Main St"/>
    <s v="Credit Card"/>
    <x v="0"/>
    <s v="Email"/>
    <n v="1023.44"/>
  </r>
  <r>
    <s v="ORD201099"/>
    <s v="C21953"/>
    <x v="5"/>
    <n v="2"/>
    <x v="1092"/>
    <s v="272 Main St"/>
    <s v="Cash"/>
    <x v="1"/>
    <s v="Email"/>
    <n v="250.46"/>
  </r>
  <r>
    <s v="ORD201100"/>
    <s v="C15146"/>
    <x v="5"/>
    <n v="5"/>
    <x v="1093"/>
    <s v="428 Main St"/>
    <s v="Debit Card"/>
    <x v="5"/>
    <s v="Instagram"/>
    <n v="190.55"/>
  </r>
  <r>
    <s v="ORD201101"/>
    <s v="C43546"/>
    <x v="0"/>
    <n v="3"/>
    <x v="1094"/>
    <s v="904 Main St"/>
    <s v="Cash"/>
    <x v="4"/>
    <s v="Email"/>
    <n v="485.91"/>
  </r>
  <r>
    <s v="ORD201102"/>
    <s v="C98474"/>
    <x v="3"/>
    <n v="4"/>
    <x v="1095"/>
    <s v="997 Main St"/>
    <s v="Debit Card"/>
    <x v="2"/>
    <s v="Instagram"/>
    <n v="1388.68"/>
  </r>
  <r>
    <s v="ORD201103"/>
    <s v="C90292"/>
    <x v="5"/>
    <n v="4"/>
    <x v="1096"/>
    <s v="129 Main St"/>
    <s v="Online"/>
    <x v="3"/>
    <s v="Google"/>
    <n v="1105.28"/>
  </r>
  <r>
    <s v="ORD201104"/>
    <s v="C17075"/>
    <x v="2"/>
    <n v="4"/>
    <x v="1097"/>
    <s v="850 Main St"/>
    <s v="Online"/>
    <x v="2"/>
    <s v="Instagram"/>
    <n v="1259.04"/>
  </r>
  <r>
    <s v="ORD201105"/>
    <s v="C12487"/>
    <x v="2"/>
    <n v="3"/>
    <x v="1098"/>
    <s v="884 Main St"/>
    <s v="Gift Card"/>
    <x v="1"/>
    <s v="Google"/>
    <n v="1427.07"/>
  </r>
  <r>
    <s v="ORD201106"/>
    <s v="C34555"/>
    <x v="3"/>
    <n v="1"/>
    <x v="1099"/>
    <s v="903 Main St"/>
    <s v="Cash"/>
    <x v="5"/>
    <s v="Facebook"/>
    <n v="372.8"/>
  </r>
  <r>
    <s v="ORD201107"/>
    <s v="C25110"/>
    <x v="2"/>
    <n v="2"/>
    <x v="1100"/>
    <s v="282 Main St"/>
    <s v="Online"/>
    <x v="4"/>
    <s v="Google"/>
    <n v="126.42"/>
  </r>
  <r>
    <s v="ORD201108"/>
    <s v="C35136"/>
    <x v="5"/>
    <n v="1"/>
    <x v="1101"/>
    <s v="462 Main St"/>
    <s v="Online"/>
    <x v="3"/>
    <s v="Instagram"/>
    <n v="634.94000000000005"/>
  </r>
  <r>
    <s v="ORD201109"/>
    <s v="C62277"/>
    <x v="4"/>
    <n v="4"/>
    <x v="1102"/>
    <s v="474 Main St"/>
    <s v="Gift Card"/>
    <x v="0"/>
    <s v="Instagram"/>
    <n v="309.88"/>
  </r>
  <r>
    <s v="ORD201110"/>
    <s v="C12472"/>
    <x v="3"/>
    <n v="3"/>
    <x v="1103"/>
    <s v="912 Main St"/>
    <s v="Credit Card"/>
    <x v="1"/>
    <s v="Email"/>
    <n v="252.93"/>
  </r>
  <r>
    <s v="ORD201111"/>
    <s v="C24047"/>
    <x v="0"/>
    <n v="4"/>
    <x v="1104"/>
    <s v="362 Main St"/>
    <s v="Online"/>
    <x v="6"/>
    <s v="Instagram"/>
    <n v="937.8"/>
  </r>
  <r>
    <s v="ORD201112"/>
    <s v="C76929"/>
    <x v="6"/>
    <n v="1"/>
    <x v="1105"/>
    <s v="563 Main St"/>
    <s v="Online"/>
    <x v="9"/>
    <s v="Instagram"/>
    <n v="356.81"/>
  </r>
  <r>
    <s v="ORD201113"/>
    <s v="C52914"/>
    <x v="6"/>
    <n v="4"/>
    <x v="1106"/>
    <s v="168 Main St"/>
    <s v="Cash"/>
    <x v="2"/>
    <s v="Google"/>
    <n v="839.96"/>
  </r>
  <r>
    <s v="ORD201114"/>
    <s v="C55164"/>
    <x v="2"/>
    <n v="3"/>
    <x v="1107"/>
    <s v="609 Main St"/>
    <s v="Gift Card"/>
    <x v="1"/>
    <s v="Google"/>
    <n v="1979.64"/>
  </r>
  <r>
    <s v="ORD201115"/>
    <s v="C70426"/>
    <x v="5"/>
    <n v="2"/>
    <x v="1108"/>
    <s v="562 Main St"/>
    <s v="Online"/>
    <x v="1"/>
    <s v="Google"/>
    <n v="672.64"/>
  </r>
  <r>
    <s v="ORD201116"/>
    <s v="C69149"/>
    <x v="4"/>
    <n v="2"/>
    <x v="1109"/>
    <s v="562 Main St"/>
    <s v="Credit Card"/>
    <x v="0"/>
    <s v="Facebook"/>
    <n v="1062.98"/>
  </r>
  <r>
    <s v="ORD201117"/>
    <s v="C78684"/>
    <x v="3"/>
    <n v="3"/>
    <x v="1110"/>
    <s v="858 Main St"/>
    <s v="Gift Card"/>
    <x v="2"/>
    <s v="Google"/>
    <n v="1765.32"/>
  </r>
  <r>
    <s v="ORD201118"/>
    <s v="C58168"/>
    <x v="1"/>
    <n v="3"/>
    <x v="1111"/>
    <s v="359 Main St"/>
    <s v="Credit Card"/>
    <x v="4"/>
    <s v="Email"/>
    <n v="754.43999999999994"/>
  </r>
  <r>
    <s v="ORD201119"/>
    <s v="C99024"/>
    <x v="5"/>
    <n v="1"/>
    <x v="1112"/>
    <s v="250 Main St"/>
    <s v="Credit Card"/>
    <x v="9"/>
    <s v="Email"/>
    <n v="684.65"/>
  </r>
  <r>
    <s v="ORD201120"/>
    <s v="C22919"/>
    <x v="2"/>
    <n v="1"/>
    <x v="1113"/>
    <s v="267 Main St"/>
    <s v="Online"/>
    <x v="1"/>
    <s v="Facebook"/>
    <n v="195.86"/>
  </r>
  <r>
    <s v="ORD201121"/>
    <s v="C98354"/>
    <x v="1"/>
    <n v="3"/>
    <x v="1114"/>
    <s v="393 Main St"/>
    <s v="Gift Card"/>
    <x v="1"/>
    <s v="Instagram"/>
    <n v="151.02000000000001"/>
  </r>
  <r>
    <s v="ORD201122"/>
    <s v="C38840"/>
    <x v="0"/>
    <n v="5"/>
    <x v="1115"/>
    <s v="766 Main St"/>
    <s v="Online"/>
    <x v="2"/>
    <s v="Facebook"/>
    <n v="3390.95"/>
  </r>
  <r>
    <s v="ORD201123"/>
    <s v="C68936"/>
    <x v="2"/>
    <n v="3"/>
    <x v="1116"/>
    <s v="843 Main St"/>
    <s v="Debit Card"/>
    <x v="5"/>
    <s v="Referral"/>
    <n v="1662.75"/>
  </r>
  <r>
    <s v="ORD201124"/>
    <s v="C33744"/>
    <x v="3"/>
    <n v="4"/>
    <x v="1117"/>
    <s v="888 Main St"/>
    <s v="Gift Card"/>
    <x v="3"/>
    <s v="Instagram"/>
    <n v="2307.48"/>
  </r>
  <r>
    <s v="ORD201125"/>
    <s v="C23555"/>
    <x v="6"/>
    <n v="4"/>
    <x v="1118"/>
    <s v="156 Main St"/>
    <s v="Gift Card"/>
    <x v="4"/>
    <s v="Referral"/>
    <n v="1633.44"/>
  </r>
  <r>
    <s v="ORD201126"/>
    <s v="C34337"/>
    <x v="1"/>
    <n v="5"/>
    <x v="1119"/>
    <s v="325 Main St"/>
    <s v="Cash"/>
    <x v="0"/>
    <s v="Google"/>
    <n v="950.55000000000007"/>
  </r>
  <r>
    <s v="ORD201127"/>
    <s v="C69396"/>
    <x v="4"/>
    <n v="3"/>
    <x v="1120"/>
    <s v="920 Main St"/>
    <s v="Credit Card"/>
    <x v="5"/>
    <s v="Email"/>
    <n v="1808.25"/>
  </r>
  <r>
    <s v="ORD201128"/>
    <s v="C49198"/>
    <x v="0"/>
    <n v="3"/>
    <x v="1121"/>
    <s v="447 Main St"/>
    <s v="Cash"/>
    <x v="3"/>
    <s v="Google"/>
    <n v="1940.37"/>
  </r>
  <r>
    <s v="ORD201129"/>
    <s v="C43911"/>
    <x v="3"/>
    <n v="4"/>
    <x v="1122"/>
    <s v="239 Main St"/>
    <s v="Cash"/>
    <x v="2"/>
    <s v="Instagram"/>
    <n v="1674.84"/>
  </r>
  <r>
    <s v="ORD201130"/>
    <s v="C24347"/>
    <x v="5"/>
    <n v="2"/>
    <x v="1123"/>
    <s v="533 Main St"/>
    <s v="Credit Card"/>
    <x v="3"/>
    <s v="Instagram"/>
    <n v="646.9"/>
  </r>
  <r>
    <s v="ORD201131"/>
    <s v="C21043"/>
    <x v="1"/>
    <n v="1"/>
    <x v="1124"/>
    <s v="195 Main St"/>
    <s v="Credit Card"/>
    <x v="1"/>
    <s v="Facebook"/>
    <n v="694.5"/>
  </r>
  <r>
    <s v="ORD201132"/>
    <s v="C58858"/>
    <x v="3"/>
    <n v="2"/>
    <x v="1125"/>
    <s v="948 Main St"/>
    <s v="Credit Card"/>
    <x v="4"/>
    <s v="Email"/>
    <n v="674.64"/>
  </r>
  <r>
    <s v="ORD201133"/>
    <s v="C20670"/>
    <x v="4"/>
    <n v="2"/>
    <x v="1126"/>
    <s v="432 Main St"/>
    <s v="Gift Card"/>
    <x v="3"/>
    <s v="Facebook"/>
    <n v="935.82"/>
  </r>
  <r>
    <s v="ORD201134"/>
    <s v="C90993"/>
    <x v="6"/>
    <n v="4"/>
    <x v="1127"/>
    <s v="950 Main St"/>
    <s v="Debit Card"/>
    <x v="4"/>
    <s v="Facebook"/>
    <n v="153.12"/>
  </r>
  <r>
    <s v="ORD201135"/>
    <s v="C11473"/>
    <x v="4"/>
    <n v="2"/>
    <x v="1128"/>
    <s v="562 Main St"/>
    <s v="Online"/>
    <x v="7"/>
    <s v="Google"/>
    <n v="146.82"/>
  </r>
  <r>
    <s v="ORD201136"/>
    <s v="C71899"/>
    <x v="2"/>
    <n v="3"/>
    <x v="1129"/>
    <s v="799 Main St"/>
    <s v="Gift Card"/>
    <x v="4"/>
    <s v="Facebook"/>
    <n v="2004.99"/>
  </r>
  <r>
    <s v="ORD201137"/>
    <s v="C48577"/>
    <x v="4"/>
    <n v="4"/>
    <x v="1130"/>
    <s v="841 Main St"/>
    <s v="Cash"/>
    <x v="3"/>
    <s v="Instagram"/>
    <n v="1640.84"/>
  </r>
  <r>
    <s v="ORD201138"/>
    <s v="C13100"/>
    <x v="6"/>
    <n v="4"/>
    <x v="1131"/>
    <s v="188 Main St"/>
    <s v="Debit Card"/>
    <x v="4"/>
    <s v="Instagram"/>
    <n v="1177.6400000000001"/>
  </r>
  <r>
    <s v="ORD201139"/>
    <s v="C70659"/>
    <x v="3"/>
    <n v="3"/>
    <x v="1132"/>
    <s v="568 Main St"/>
    <s v="Gift Card"/>
    <x v="4"/>
    <s v="Email"/>
    <n v="1505.46"/>
  </r>
  <r>
    <s v="ORD201140"/>
    <s v="C49838"/>
    <x v="4"/>
    <n v="2"/>
    <x v="1133"/>
    <s v="904 Main St"/>
    <s v="Credit Card"/>
    <x v="1"/>
    <s v="Referral"/>
    <n v="1105.6600000000001"/>
  </r>
  <r>
    <s v="ORD201141"/>
    <s v="C11998"/>
    <x v="3"/>
    <n v="3"/>
    <x v="1134"/>
    <s v="382 Main St"/>
    <s v="Cash"/>
    <x v="5"/>
    <s v="Email"/>
    <n v="1495.98"/>
  </r>
  <r>
    <s v="ORD201142"/>
    <s v="C23405"/>
    <x v="1"/>
    <n v="4"/>
    <x v="1135"/>
    <s v="484 Main St"/>
    <s v="Debit Card"/>
    <x v="2"/>
    <s v="Email"/>
    <n v="2780.4"/>
  </r>
  <r>
    <s v="ORD201143"/>
    <s v="C41132"/>
    <x v="3"/>
    <n v="1"/>
    <x v="1136"/>
    <s v="114 Main St"/>
    <s v="Debit Card"/>
    <x v="3"/>
    <s v="Email"/>
    <n v="381.61"/>
  </r>
  <r>
    <s v="ORD201144"/>
    <s v="C88463"/>
    <x v="6"/>
    <n v="5"/>
    <x v="1137"/>
    <s v="292 Main St"/>
    <s v="Online"/>
    <x v="6"/>
    <s v="Facebook"/>
    <n v="2539.6999999999998"/>
  </r>
  <r>
    <s v="ORD201145"/>
    <s v="C28152"/>
    <x v="6"/>
    <n v="3"/>
    <x v="1138"/>
    <s v="821 Main St"/>
    <s v="Debit Card"/>
    <x v="5"/>
    <s v="Facebook"/>
    <n v="1714.59"/>
  </r>
  <r>
    <s v="ORD201146"/>
    <s v="C36383"/>
    <x v="0"/>
    <n v="5"/>
    <x v="1139"/>
    <s v="286 Main St"/>
    <s v="Cash"/>
    <x v="3"/>
    <s v="Instagram"/>
    <n v="2107.1999999999998"/>
  </r>
  <r>
    <s v="ORD201147"/>
    <s v="C19759"/>
    <x v="3"/>
    <n v="2"/>
    <x v="1140"/>
    <s v="234 Main St"/>
    <s v="Online"/>
    <x v="7"/>
    <s v="Email"/>
    <n v="1176.5999999999999"/>
  </r>
  <r>
    <s v="ORD201148"/>
    <s v="C54886"/>
    <x v="1"/>
    <n v="1"/>
    <x v="1141"/>
    <s v="442 Main St"/>
    <s v="Cash"/>
    <x v="7"/>
    <s v="Email"/>
    <n v="355.15"/>
  </r>
  <r>
    <s v="ORD201149"/>
    <s v="C27305"/>
    <x v="3"/>
    <n v="2"/>
    <x v="1142"/>
    <s v="957 Main St"/>
    <s v="Credit Card"/>
    <x v="5"/>
    <s v="Instagram"/>
    <n v="1390.58"/>
  </r>
  <r>
    <s v="ORD201150"/>
    <s v="C17921"/>
    <x v="6"/>
    <n v="4"/>
    <x v="1143"/>
    <s v="119 Main St"/>
    <s v="Credit Card"/>
    <x v="2"/>
    <s v="Referral"/>
    <n v="1210.5999999999999"/>
  </r>
  <r>
    <s v="ORD201151"/>
    <s v="C94381"/>
    <x v="3"/>
    <n v="2"/>
    <x v="1144"/>
    <s v="962 Main St"/>
    <s v="Cash"/>
    <x v="4"/>
    <s v="Google"/>
    <n v="1216.08"/>
  </r>
  <r>
    <s v="ORD201152"/>
    <s v="C25162"/>
    <x v="2"/>
    <n v="2"/>
    <x v="1145"/>
    <s v="533 Main St"/>
    <s v="Credit Card"/>
    <x v="0"/>
    <s v="Referral"/>
    <n v="688.36"/>
  </r>
  <r>
    <s v="ORD201153"/>
    <s v="C98317"/>
    <x v="0"/>
    <n v="4"/>
    <x v="1146"/>
    <s v="276 Main St"/>
    <s v="Debit Card"/>
    <x v="4"/>
    <s v="Instagram"/>
    <n v="2786.84"/>
  </r>
  <r>
    <s v="ORD201154"/>
    <s v="C53631"/>
    <x v="0"/>
    <n v="3"/>
    <x v="1147"/>
    <s v="593 Main St"/>
    <s v="Cash"/>
    <x v="2"/>
    <s v="Instagram"/>
    <n v="595.89"/>
  </r>
  <r>
    <s v="ORD201155"/>
    <s v="C41478"/>
    <x v="4"/>
    <n v="4"/>
    <x v="1148"/>
    <s v="667 Main St"/>
    <s v="Credit Card"/>
    <x v="5"/>
    <s v="Facebook"/>
    <n v="2138.2800000000002"/>
  </r>
  <r>
    <s v="ORD201156"/>
    <s v="C20512"/>
    <x v="5"/>
    <n v="4"/>
    <x v="1149"/>
    <s v="980 Main St"/>
    <s v="Credit Card"/>
    <x v="6"/>
    <s v="Referral"/>
    <n v="2763.12"/>
  </r>
  <r>
    <s v="ORD201157"/>
    <s v="C25841"/>
    <x v="0"/>
    <n v="3"/>
    <x v="1150"/>
    <s v="242 Main St"/>
    <s v="Debit Card"/>
    <x v="3"/>
    <s v="Google"/>
    <n v="904.65000000000009"/>
  </r>
  <r>
    <s v="ORD201158"/>
    <s v="C82781"/>
    <x v="0"/>
    <n v="4"/>
    <x v="1151"/>
    <s v="661 Main St"/>
    <s v="Debit Card"/>
    <x v="4"/>
    <s v="Referral"/>
    <n v="109.68"/>
  </r>
  <r>
    <s v="ORD201159"/>
    <s v="C66112"/>
    <x v="6"/>
    <n v="4"/>
    <x v="1152"/>
    <s v="874 Main St"/>
    <s v="Debit Card"/>
    <x v="2"/>
    <s v="Instagram"/>
    <n v="1866.8"/>
  </r>
  <r>
    <s v="ORD201160"/>
    <s v="C40466"/>
    <x v="6"/>
    <n v="1"/>
    <x v="1153"/>
    <s v="449 Main St"/>
    <s v="Debit Card"/>
    <x v="3"/>
    <s v="Email"/>
    <n v="541.64"/>
  </r>
  <r>
    <s v="ORD201161"/>
    <s v="C32570"/>
    <x v="1"/>
    <n v="1"/>
    <x v="1154"/>
    <s v="826 Main St"/>
    <s v="Cash"/>
    <x v="5"/>
    <s v="Email"/>
    <n v="11.39"/>
  </r>
  <r>
    <s v="ORD201162"/>
    <s v="C29405"/>
    <x v="1"/>
    <n v="2"/>
    <x v="1155"/>
    <s v="251 Main St"/>
    <s v="Debit Card"/>
    <x v="1"/>
    <s v="Referral"/>
    <n v="448.74"/>
  </r>
  <r>
    <s v="ORD201163"/>
    <s v="C30643"/>
    <x v="5"/>
    <n v="3"/>
    <x v="1156"/>
    <s v="966 Main St"/>
    <s v="Credit Card"/>
    <x v="0"/>
    <s v="Instagram"/>
    <n v="918.87000000000012"/>
  </r>
  <r>
    <s v="ORD201164"/>
    <s v="C65890"/>
    <x v="2"/>
    <n v="5"/>
    <x v="1157"/>
    <s v="340 Main St"/>
    <s v="Debit Card"/>
    <x v="5"/>
    <s v="Email"/>
    <n v="1577.85"/>
  </r>
  <r>
    <s v="ORD201165"/>
    <s v="C36992"/>
    <x v="3"/>
    <n v="3"/>
    <x v="1158"/>
    <s v="617 Main St"/>
    <s v="Debit Card"/>
    <x v="1"/>
    <s v="Google"/>
    <n v="671.37"/>
  </r>
  <r>
    <s v="ORD201166"/>
    <s v="C95568"/>
    <x v="3"/>
    <n v="3"/>
    <x v="1159"/>
    <s v="971 Main St"/>
    <s v="Cash"/>
    <x v="4"/>
    <s v="Email"/>
    <n v="973.41000000000008"/>
  </r>
  <r>
    <s v="ORD201167"/>
    <s v="C17966"/>
    <x v="4"/>
    <n v="2"/>
    <x v="1160"/>
    <s v="360 Main St"/>
    <s v="Credit Card"/>
    <x v="3"/>
    <s v="Facebook"/>
    <n v="185.74"/>
  </r>
  <r>
    <s v="ORD201168"/>
    <s v="C89559"/>
    <x v="5"/>
    <n v="2"/>
    <x v="1161"/>
    <s v="297 Main St"/>
    <s v="Credit Card"/>
    <x v="5"/>
    <s v="Google"/>
    <n v="662.84"/>
  </r>
  <r>
    <s v="ORD201169"/>
    <s v="C15849"/>
    <x v="3"/>
    <n v="1"/>
    <x v="1162"/>
    <s v="643 Main St"/>
    <s v="Cash"/>
    <x v="7"/>
    <s v="Instagram"/>
    <n v="525.42999999999995"/>
  </r>
  <r>
    <s v="ORD201170"/>
    <s v="C94257"/>
    <x v="4"/>
    <n v="2"/>
    <x v="1163"/>
    <s v="762 Main St"/>
    <s v="Cash"/>
    <x v="0"/>
    <s v="Email"/>
    <n v="1394.38"/>
  </r>
  <r>
    <s v="ORD201171"/>
    <s v="C39911"/>
    <x v="1"/>
    <n v="4"/>
    <x v="1164"/>
    <s v="699 Main St"/>
    <s v="Credit Card"/>
    <x v="0"/>
    <s v="Facebook"/>
    <n v="2073.6"/>
  </r>
  <r>
    <s v="ORD201172"/>
    <s v="C28828"/>
    <x v="6"/>
    <n v="3"/>
    <x v="1165"/>
    <s v="745 Main St"/>
    <s v="Credit Card"/>
    <x v="2"/>
    <s v="Instagram"/>
    <n v="395.88"/>
  </r>
  <r>
    <s v="ORD201173"/>
    <s v="C82921"/>
    <x v="0"/>
    <n v="1"/>
    <x v="1166"/>
    <s v="703 Main St"/>
    <s v="Online"/>
    <x v="4"/>
    <s v="Email"/>
    <n v="208.36"/>
  </r>
  <r>
    <s v="ORD201174"/>
    <s v="C50159"/>
    <x v="4"/>
    <n v="3"/>
    <x v="1167"/>
    <s v="105 Main St"/>
    <s v="Credit Card"/>
    <x v="3"/>
    <s v="Email"/>
    <n v="667.02"/>
  </r>
  <r>
    <s v="ORD201175"/>
    <s v="C62512"/>
    <x v="4"/>
    <n v="3"/>
    <x v="1168"/>
    <s v="368 Main St"/>
    <s v="Debit Card"/>
    <x v="2"/>
    <s v="Referral"/>
    <n v="275.22000000000003"/>
  </r>
  <r>
    <s v="ORD201176"/>
    <s v="C39260"/>
    <x v="2"/>
    <n v="2"/>
    <x v="1169"/>
    <s v="374 Main St"/>
    <s v="Debit Card"/>
    <x v="7"/>
    <s v="Email"/>
    <n v="427.66"/>
  </r>
  <r>
    <s v="ORD201177"/>
    <s v="C23917"/>
    <x v="4"/>
    <n v="1"/>
    <x v="1170"/>
    <s v="433 Main St"/>
    <s v="Cash"/>
    <x v="1"/>
    <s v="Referral"/>
    <n v="127.55"/>
  </r>
  <r>
    <s v="ORD201178"/>
    <s v="C65107"/>
    <x v="0"/>
    <n v="1"/>
    <x v="1171"/>
    <s v="456 Main St"/>
    <s v="Credit Card"/>
    <x v="4"/>
    <s v="Google"/>
    <n v="70.239999999999995"/>
  </r>
  <r>
    <s v="ORD201179"/>
    <s v="C84630"/>
    <x v="5"/>
    <n v="5"/>
    <x v="1172"/>
    <s v="907 Main St"/>
    <s v="Credit Card"/>
    <x v="5"/>
    <s v="Instagram"/>
    <n v="2592.75"/>
  </r>
  <r>
    <s v="ORD201180"/>
    <s v="C42235"/>
    <x v="3"/>
    <n v="4"/>
    <x v="1173"/>
    <s v="722 Main St"/>
    <s v="Debit Card"/>
    <x v="2"/>
    <s v="Google"/>
    <n v="1193.44"/>
  </r>
  <r>
    <s v="ORD201181"/>
    <s v="C70246"/>
    <x v="6"/>
    <n v="3"/>
    <x v="1174"/>
    <s v="293 Main St"/>
    <s v="Online"/>
    <x v="0"/>
    <s v="Instagram"/>
    <n v="476.22"/>
  </r>
  <r>
    <s v="ORD201182"/>
    <s v="C18473"/>
    <x v="3"/>
    <n v="2"/>
    <x v="1175"/>
    <s v="700 Main St"/>
    <s v="Gift Card"/>
    <x v="1"/>
    <s v="Google"/>
    <n v="840.58"/>
  </r>
  <r>
    <s v="ORD201183"/>
    <s v="C12607"/>
    <x v="6"/>
    <n v="1"/>
    <x v="1176"/>
    <s v="460 Main St"/>
    <s v="Gift Card"/>
    <x v="5"/>
    <s v="Referral"/>
    <n v="281.52"/>
  </r>
  <r>
    <s v="ORD201184"/>
    <s v="C10222"/>
    <x v="5"/>
    <n v="1"/>
    <x v="1177"/>
    <s v="979 Main St"/>
    <s v="Gift Card"/>
    <x v="4"/>
    <s v="Google"/>
    <n v="204.08"/>
  </r>
  <r>
    <s v="ORD201185"/>
    <s v="C77344"/>
    <x v="3"/>
    <n v="1"/>
    <x v="1178"/>
    <s v="777 Main St"/>
    <s v="Gift Card"/>
    <x v="5"/>
    <s v="Google"/>
    <n v="343.31"/>
  </r>
  <r>
    <s v="ORD201186"/>
    <s v="C65497"/>
    <x v="0"/>
    <n v="1"/>
    <x v="1179"/>
    <s v="676 Main St"/>
    <s v="Cash"/>
    <x v="5"/>
    <s v="Facebook"/>
    <n v="163.32"/>
  </r>
  <r>
    <s v="ORD201187"/>
    <s v="C26340"/>
    <x v="6"/>
    <n v="2"/>
    <x v="1180"/>
    <s v="562 Main St"/>
    <s v="Gift Card"/>
    <x v="0"/>
    <s v="Email"/>
    <n v="369.2"/>
  </r>
  <r>
    <s v="ORD201188"/>
    <s v="C75619"/>
    <x v="4"/>
    <n v="2"/>
    <x v="1181"/>
    <s v="924 Main St"/>
    <s v="Gift Card"/>
    <x v="3"/>
    <s v="Facebook"/>
    <n v="742.58"/>
  </r>
  <r>
    <s v="ORD201189"/>
    <s v="C96136"/>
    <x v="2"/>
    <n v="5"/>
    <x v="1182"/>
    <s v="149 Main St"/>
    <s v="Cash"/>
    <x v="0"/>
    <s v="Referral"/>
    <n v="1946.1"/>
  </r>
  <r>
    <s v="ORD201190"/>
    <s v="C46886"/>
    <x v="6"/>
    <n v="3"/>
    <x v="1183"/>
    <s v="754 Main St"/>
    <s v="Credit Card"/>
    <x v="5"/>
    <s v="Instagram"/>
    <n v="1849.17"/>
  </r>
  <r>
    <s v="ORD201191"/>
    <s v="C44148"/>
    <x v="6"/>
    <n v="4"/>
    <x v="1184"/>
    <s v="809 Main St"/>
    <s v="Gift Card"/>
    <x v="3"/>
    <s v="Instagram"/>
    <n v="1505.72"/>
  </r>
  <r>
    <s v="ORD201192"/>
    <s v="C72007"/>
    <x v="3"/>
    <n v="3"/>
    <x v="1185"/>
    <s v="999 Main St"/>
    <s v="Online"/>
    <x v="4"/>
    <s v="Instagram"/>
    <n v="1298.55"/>
  </r>
  <r>
    <s v="ORD201193"/>
    <s v="C45104"/>
    <x v="2"/>
    <n v="1"/>
    <x v="1186"/>
    <s v="348 Main St"/>
    <s v="Cash"/>
    <x v="9"/>
    <s v="Email"/>
    <n v="687.89"/>
  </r>
  <r>
    <s v="ORD201194"/>
    <s v="C29885"/>
    <x v="4"/>
    <n v="3"/>
    <x v="1187"/>
    <s v="725 Main St"/>
    <s v="Cash"/>
    <x v="4"/>
    <s v="Email"/>
    <n v="568.31999999999994"/>
  </r>
  <r>
    <s v="ORD201195"/>
    <s v="C21126"/>
    <x v="6"/>
    <n v="1"/>
    <x v="1188"/>
    <s v="392 Main St"/>
    <s v="Credit Card"/>
    <x v="5"/>
    <s v="Google"/>
    <n v="107.04"/>
  </r>
  <r>
    <s v="ORD201196"/>
    <s v="C20095"/>
    <x v="0"/>
    <n v="2"/>
    <x v="1189"/>
    <s v="778 Main St"/>
    <s v="Online"/>
    <x v="3"/>
    <s v="Facebook"/>
    <n v="1325.06"/>
  </r>
  <r>
    <s v="ORD201197"/>
    <s v="C79674"/>
    <x v="2"/>
    <n v="2"/>
    <x v="1190"/>
    <s v="275 Main St"/>
    <s v="Online"/>
    <x v="7"/>
    <s v="Instagram"/>
    <n v="873.68"/>
  </r>
  <r>
    <s v="ORD201198"/>
    <s v="C64753"/>
    <x v="3"/>
    <n v="4"/>
    <x v="1191"/>
    <s v="509 Main St"/>
    <s v="Debit Card"/>
    <x v="4"/>
    <s v="Instagram"/>
    <n v="1050.08"/>
  </r>
  <r>
    <s v="ORD201199"/>
    <s v="C57502"/>
    <x v="2"/>
    <n v="4"/>
    <x v="1192"/>
    <s v="201 Main St"/>
    <s v="Gift Card"/>
    <x v="5"/>
    <s v="Referral"/>
    <n v="2242.3200000000002"/>
  </r>
  <r>
    <m/>
    <m/>
    <x v="7"/>
    <m/>
    <x v="1193"/>
    <m/>
    <m/>
    <x v="10"/>
    <m/>
    <m/>
  </r>
  <r>
    <m/>
    <m/>
    <x v="7"/>
    <m/>
    <x v="1193"/>
    <m/>
    <m/>
    <x v="1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s v="ORD200000"/>
    <x v="0"/>
    <x v="0"/>
    <x v="0"/>
    <n v="570.62"/>
    <s v="928 Main St"/>
    <s v="Debit Card"/>
    <x v="0"/>
    <s v="Instagram"/>
    <n v="2853.1"/>
  </r>
  <r>
    <s v="ORD200001"/>
    <x v="1"/>
    <x v="1"/>
    <x v="1"/>
    <n v="151.35"/>
    <s v="823 Main St"/>
    <s v="Online"/>
    <x v="1"/>
    <s v="Referral"/>
    <n v="302.7"/>
  </r>
  <r>
    <s v="ORD200002"/>
    <x v="2"/>
    <x v="2"/>
    <x v="0"/>
    <n v="550.67999999999995"/>
    <s v="512 Main St"/>
    <s v="Credit Card"/>
    <x v="2"/>
    <s v="Email"/>
    <n v="2753.4"/>
  </r>
  <r>
    <s v="ORD200003"/>
    <x v="3"/>
    <x v="3"/>
    <x v="2"/>
    <n v="273.19"/>
    <s v="275 Main St"/>
    <s v="Debit Card"/>
    <x v="3"/>
    <s v="Facebook"/>
    <n v="273.19"/>
  </r>
  <r>
    <s v="ORD200004"/>
    <x v="4"/>
    <x v="4"/>
    <x v="3"/>
    <n v="626.01"/>
    <s v="668 Main St"/>
    <s v="Online"/>
    <x v="2"/>
    <s v="Email"/>
    <n v="2504.04"/>
  </r>
  <r>
    <s v="ORD200005"/>
    <x v="5"/>
    <x v="1"/>
    <x v="1"/>
    <n v="245.86"/>
    <s v="934 Main St"/>
    <s v="Credit Card"/>
    <x v="4"/>
    <s v="Instagram"/>
    <n v="491.72"/>
  </r>
  <r>
    <s v="ORD200006"/>
    <x v="6"/>
    <x v="5"/>
    <x v="2"/>
    <n v="664.42"/>
    <s v="986 Main St"/>
    <s v="Gift Card"/>
    <x v="5"/>
    <s v="Facebook"/>
    <n v="664.42"/>
  </r>
  <r>
    <s v="ORD200007"/>
    <x v="7"/>
    <x v="0"/>
    <x v="0"/>
    <n v="149.55000000000001"/>
    <s v="706 Main St"/>
    <s v="Cash"/>
    <x v="6"/>
    <s v="Facebook"/>
    <n v="747.75"/>
  </r>
  <r>
    <s v="ORD200008"/>
    <x v="8"/>
    <x v="1"/>
    <x v="1"/>
    <n v="134.28"/>
    <s v="904 Main St"/>
    <s v="Gift Card"/>
    <x v="7"/>
    <s v="Email"/>
    <n v="268.56"/>
  </r>
  <r>
    <s v="ORD200009"/>
    <x v="9"/>
    <x v="6"/>
    <x v="3"/>
    <n v="509.38"/>
    <s v="102 Main St"/>
    <s v="Credit Card"/>
    <x v="5"/>
    <s v="Google"/>
    <n v="2037.52"/>
  </r>
  <r>
    <s v="ORD200010"/>
    <x v="10"/>
    <x v="2"/>
    <x v="0"/>
    <n v="625.97"/>
    <s v="333 Main St"/>
    <s v="Credit Card"/>
    <x v="6"/>
    <s v="Instagram"/>
    <n v="3129.85"/>
  </r>
  <r>
    <s v="ORD200011"/>
    <x v="11"/>
    <x v="0"/>
    <x v="4"/>
    <n v="49.14"/>
    <s v="831 Main St"/>
    <s v="Online"/>
    <x v="0"/>
    <s v="Email"/>
    <n v="147.41999999999999"/>
  </r>
  <r>
    <s v="ORD200012"/>
    <x v="12"/>
    <x v="0"/>
    <x v="1"/>
    <n v="180.5"/>
    <s v="179 Main St"/>
    <s v="Debit Card"/>
    <x v="5"/>
    <s v="Referral"/>
    <n v="361"/>
  </r>
  <r>
    <s v="ORD200013"/>
    <x v="13"/>
    <x v="5"/>
    <x v="4"/>
    <n v="201.49"/>
    <s v="903 Main St"/>
    <s v="Credit Card"/>
    <x v="4"/>
    <s v="Facebook"/>
    <n v="604.47"/>
  </r>
  <r>
    <s v="ORD200014"/>
    <x v="14"/>
    <x v="2"/>
    <x v="1"/>
    <n v="393.33"/>
    <s v="980 Main St"/>
    <s v="Debit Card"/>
    <x v="1"/>
    <s v="Instagram"/>
    <n v="786.66"/>
  </r>
  <r>
    <s v="ORD200015"/>
    <x v="15"/>
    <x v="4"/>
    <x v="2"/>
    <n v="473.96"/>
    <s v="942 Main St"/>
    <s v="Cash"/>
    <x v="1"/>
    <s v="Google"/>
    <n v="473.96"/>
  </r>
  <r>
    <s v="ORD200016"/>
    <x v="16"/>
    <x v="4"/>
    <x v="1"/>
    <n v="533.80999999999995"/>
    <s v="914 Main St"/>
    <s v="Credit Card"/>
    <x v="1"/>
    <s v="Email"/>
    <n v="1067.6199999999999"/>
  </r>
  <r>
    <s v="ORD200017"/>
    <x v="17"/>
    <x v="2"/>
    <x v="2"/>
    <n v="423.4"/>
    <s v="382 Main St"/>
    <s v="Debit Card"/>
    <x v="1"/>
    <s v="Referral"/>
    <n v="423.4"/>
  </r>
  <r>
    <s v="ORD200018"/>
    <x v="18"/>
    <x v="6"/>
    <x v="2"/>
    <n v="431.44"/>
    <s v="891 Main St"/>
    <s v="Gift Card"/>
    <x v="1"/>
    <s v="Facebook"/>
    <n v="431.44"/>
  </r>
  <r>
    <s v="ORD200019"/>
    <x v="19"/>
    <x v="0"/>
    <x v="0"/>
    <n v="224"/>
    <s v="273 Main St"/>
    <s v="Cash"/>
    <x v="6"/>
    <s v="Google"/>
    <n v="1120"/>
  </r>
  <r>
    <s v="ORD200020"/>
    <x v="20"/>
    <x v="3"/>
    <x v="0"/>
    <n v="62.51"/>
    <s v="587 Main St"/>
    <s v="Cash"/>
    <x v="6"/>
    <s v="Instagram"/>
    <n v="312.55"/>
  </r>
  <r>
    <s v="ORD200021"/>
    <x v="21"/>
    <x v="0"/>
    <x v="3"/>
    <n v="342.95"/>
    <s v="569 Main St"/>
    <s v="Cash"/>
    <x v="5"/>
    <s v="Google"/>
    <n v="1371.8"/>
  </r>
  <r>
    <s v="ORD200022"/>
    <x v="22"/>
    <x v="0"/>
    <x v="1"/>
    <n v="49.62"/>
    <s v="633 Main St"/>
    <s v="Online"/>
    <x v="7"/>
    <s v="Google"/>
    <n v="99.24"/>
  </r>
  <r>
    <s v="ORD200023"/>
    <x v="23"/>
    <x v="1"/>
    <x v="3"/>
    <n v="273.25"/>
    <s v="755 Main St"/>
    <s v="Debit Card"/>
    <x v="3"/>
    <s v="Referral"/>
    <n v="1093"/>
  </r>
  <r>
    <s v="ORD200024"/>
    <x v="24"/>
    <x v="5"/>
    <x v="1"/>
    <n v="230.95"/>
    <s v="956 Main St"/>
    <s v="Online"/>
    <x v="1"/>
    <s v="Referral"/>
    <n v="461.9"/>
  </r>
  <r>
    <s v="ORD200025"/>
    <x v="25"/>
    <x v="0"/>
    <x v="2"/>
    <n v="399.98"/>
    <s v="709 Main St"/>
    <s v="Debit Card"/>
    <x v="1"/>
    <s v="Email"/>
    <n v="399.98"/>
  </r>
  <r>
    <s v="ORD200026"/>
    <x v="26"/>
    <x v="5"/>
    <x v="0"/>
    <n v="59.55"/>
    <s v="296 Main St"/>
    <s v="Online"/>
    <x v="5"/>
    <s v="Referral"/>
    <n v="297.75"/>
  </r>
  <r>
    <s v="ORD200027"/>
    <x v="27"/>
    <x v="4"/>
    <x v="2"/>
    <n v="472.74"/>
    <s v="881 Main St"/>
    <s v="Online"/>
    <x v="5"/>
    <s v="Google"/>
    <n v="472.74"/>
  </r>
  <r>
    <s v="ORD200028"/>
    <x v="28"/>
    <x v="1"/>
    <x v="3"/>
    <n v="160.07"/>
    <s v="568 Main St"/>
    <s v="Online"/>
    <x v="3"/>
    <s v="Email"/>
    <n v="640.28"/>
  </r>
  <r>
    <s v="ORD200029"/>
    <x v="29"/>
    <x v="6"/>
    <x v="4"/>
    <n v="423.53"/>
    <s v="930 Main St"/>
    <s v="Credit Card"/>
    <x v="5"/>
    <s v="Referral"/>
    <n v="1270.5899999999999"/>
  </r>
  <r>
    <s v="ORD200030"/>
    <x v="30"/>
    <x v="0"/>
    <x v="1"/>
    <n v="426.7"/>
    <s v="895 Main St"/>
    <s v="Online"/>
    <x v="3"/>
    <s v="Referral"/>
    <n v="853.4"/>
  </r>
  <r>
    <s v="ORD200031"/>
    <x v="31"/>
    <x v="3"/>
    <x v="4"/>
    <n v="500.08"/>
    <s v="996 Main St"/>
    <s v="Debit Card"/>
    <x v="5"/>
    <s v="Facebook"/>
    <n v="1500.24"/>
  </r>
  <r>
    <s v="ORD200032"/>
    <x v="32"/>
    <x v="2"/>
    <x v="0"/>
    <n v="536.72"/>
    <s v="830 Main St"/>
    <s v="Cash"/>
    <x v="8"/>
    <s v="Email"/>
    <n v="2683.6"/>
  </r>
  <r>
    <s v="ORD200033"/>
    <x v="33"/>
    <x v="3"/>
    <x v="2"/>
    <n v="162.77000000000001"/>
    <s v="912 Main St"/>
    <s v="Online"/>
    <x v="4"/>
    <s v="Facebook"/>
    <n v="162.77000000000001"/>
  </r>
  <r>
    <s v="ORD200034"/>
    <x v="34"/>
    <x v="3"/>
    <x v="3"/>
    <n v="576.52"/>
    <s v="926 Main St"/>
    <s v="Credit Card"/>
    <x v="3"/>
    <s v="Facebook"/>
    <n v="2306.08"/>
  </r>
  <r>
    <s v="ORD200035"/>
    <x v="35"/>
    <x v="0"/>
    <x v="1"/>
    <n v="465.15"/>
    <s v="128 Main St"/>
    <s v="Online"/>
    <x v="7"/>
    <s v="Facebook"/>
    <n v="930.3"/>
  </r>
  <r>
    <s v="ORD200036"/>
    <x v="36"/>
    <x v="5"/>
    <x v="1"/>
    <n v="534.42999999999995"/>
    <s v="465 Main St"/>
    <s v="Debit Card"/>
    <x v="3"/>
    <s v="Facebook"/>
    <n v="1068.8599999999999"/>
  </r>
  <r>
    <s v="ORD200037"/>
    <x v="37"/>
    <x v="5"/>
    <x v="1"/>
    <n v="76.739999999999995"/>
    <s v="409 Main St"/>
    <s v="Cash"/>
    <x v="0"/>
    <s v="Instagram"/>
    <n v="153.47999999999999"/>
  </r>
  <r>
    <s v="ORD200038"/>
    <x v="38"/>
    <x v="5"/>
    <x v="2"/>
    <n v="245.89"/>
    <s v="549 Main St"/>
    <s v="Debit Card"/>
    <x v="1"/>
    <s v="Google"/>
    <n v="245.89"/>
  </r>
  <r>
    <s v="ORD200039"/>
    <x v="39"/>
    <x v="4"/>
    <x v="4"/>
    <n v="256.45999999999998"/>
    <s v="666 Main St"/>
    <s v="Credit Card"/>
    <x v="4"/>
    <s v="Referral"/>
    <n v="769.37999999999988"/>
  </r>
  <r>
    <s v="ORD200040"/>
    <x v="40"/>
    <x v="6"/>
    <x v="1"/>
    <n v="344.02"/>
    <s v="267 Main St"/>
    <s v="Online"/>
    <x v="4"/>
    <s v="Instagram"/>
    <n v="688.04"/>
  </r>
  <r>
    <s v="ORD200041"/>
    <x v="41"/>
    <x v="0"/>
    <x v="4"/>
    <n v="611.45000000000005"/>
    <s v="657 Main St"/>
    <s v="Gift Card"/>
    <x v="4"/>
    <s v="Instagram"/>
    <n v="1834.35"/>
  </r>
  <r>
    <s v="ORD200042"/>
    <x v="42"/>
    <x v="4"/>
    <x v="1"/>
    <n v="151.66"/>
    <s v="980 Main St"/>
    <s v="Cash"/>
    <x v="5"/>
    <s v="Instagram"/>
    <n v="303.32"/>
  </r>
  <r>
    <s v="ORD200043"/>
    <x v="43"/>
    <x v="3"/>
    <x v="4"/>
    <n v="499.21"/>
    <s v="871 Main St"/>
    <s v="Online"/>
    <x v="2"/>
    <s v="Instagram"/>
    <n v="1497.63"/>
  </r>
  <r>
    <s v="ORD200044"/>
    <x v="44"/>
    <x v="1"/>
    <x v="1"/>
    <n v="550.17999999999995"/>
    <s v="996 Main St"/>
    <s v="Gift Card"/>
    <x v="1"/>
    <s v="Referral"/>
    <n v="1100.3599999999999"/>
  </r>
  <r>
    <s v="ORD200045"/>
    <x v="45"/>
    <x v="3"/>
    <x v="2"/>
    <n v="317.25"/>
    <s v="157 Main St"/>
    <s v="Debit Card"/>
    <x v="9"/>
    <s v="Facebook"/>
    <n v="317.25"/>
  </r>
  <r>
    <s v="ORD200046"/>
    <x v="46"/>
    <x v="0"/>
    <x v="3"/>
    <n v="550.14"/>
    <s v="223 Main St"/>
    <s v="Debit Card"/>
    <x v="4"/>
    <s v="Instagram"/>
    <n v="2200.56"/>
  </r>
  <r>
    <s v="ORD200047"/>
    <x v="47"/>
    <x v="6"/>
    <x v="1"/>
    <n v="209.94"/>
    <s v="323 Main St"/>
    <s v="Credit Card"/>
    <x v="1"/>
    <s v="Email"/>
    <n v="419.88"/>
  </r>
  <r>
    <s v="ORD200048"/>
    <x v="48"/>
    <x v="0"/>
    <x v="1"/>
    <n v="80.77"/>
    <s v="464 Main St"/>
    <s v="Debit Card"/>
    <x v="4"/>
    <s v="Google"/>
    <n v="161.54"/>
  </r>
  <r>
    <s v="ORD200049"/>
    <x v="49"/>
    <x v="4"/>
    <x v="2"/>
    <n v="30.44"/>
    <s v="633 Main St"/>
    <s v="Credit Card"/>
    <x v="9"/>
    <s v="Email"/>
    <n v="30.44"/>
  </r>
  <r>
    <s v="ORD200050"/>
    <x v="50"/>
    <x v="2"/>
    <x v="2"/>
    <n v="179.22"/>
    <s v="446 Main St"/>
    <s v="Online"/>
    <x v="5"/>
    <s v="Instagram"/>
    <n v="179.22"/>
  </r>
  <r>
    <s v="ORD200051"/>
    <x v="51"/>
    <x v="2"/>
    <x v="2"/>
    <n v="388.33"/>
    <s v="434 Main St"/>
    <s v="Cash"/>
    <x v="7"/>
    <s v="Facebook"/>
    <n v="388.33"/>
  </r>
  <r>
    <s v="ORD200052"/>
    <x v="52"/>
    <x v="2"/>
    <x v="2"/>
    <n v="586.44000000000005"/>
    <s v="232 Main St"/>
    <s v="Online"/>
    <x v="3"/>
    <s v="Facebook"/>
    <n v="586.44000000000005"/>
  </r>
  <r>
    <s v="ORD200053"/>
    <x v="53"/>
    <x v="1"/>
    <x v="3"/>
    <n v="488.78"/>
    <s v="512 Main St"/>
    <s v="Online"/>
    <x v="3"/>
    <s v="Google"/>
    <n v="1955.12"/>
  </r>
  <r>
    <s v="ORD200054"/>
    <x v="54"/>
    <x v="3"/>
    <x v="2"/>
    <n v="280.25"/>
    <s v="623 Main St"/>
    <s v="Online"/>
    <x v="3"/>
    <s v="Email"/>
    <n v="280.25"/>
  </r>
  <r>
    <s v="ORD200055"/>
    <x v="55"/>
    <x v="4"/>
    <x v="4"/>
    <n v="344.4"/>
    <s v="565 Main St"/>
    <s v="Online"/>
    <x v="1"/>
    <s v="Facebook"/>
    <n v="1033.2"/>
  </r>
  <r>
    <s v="ORD200056"/>
    <x v="56"/>
    <x v="2"/>
    <x v="4"/>
    <n v="479.21"/>
    <s v="566 Main St"/>
    <s v="Cash"/>
    <x v="3"/>
    <s v="Referral"/>
    <n v="1437.63"/>
  </r>
  <r>
    <s v="ORD200057"/>
    <x v="57"/>
    <x v="4"/>
    <x v="0"/>
    <n v="314.27"/>
    <s v="842 Main St"/>
    <s v="Cash"/>
    <x v="5"/>
    <s v="Instagram"/>
    <n v="1571.35"/>
  </r>
  <r>
    <s v="ORD200058"/>
    <x v="58"/>
    <x v="1"/>
    <x v="3"/>
    <n v="474.69"/>
    <s v="202 Main St"/>
    <s v="Gift Card"/>
    <x v="5"/>
    <s v="Google"/>
    <n v="1898.76"/>
  </r>
  <r>
    <s v="ORD200059"/>
    <x v="59"/>
    <x v="3"/>
    <x v="3"/>
    <n v="593.27"/>
    <s v="811 Main St"/>
    <s v="Online"/>
    <x v="3"/>
    <s v="Facebook"/>
    <n v="2373.08"/>
  </r>
  <r>
    <s v="ORD200060"/>
    <x v="60"/>
    <x v="6"/>
    <x v="2"/>
    <n v="417.1"/>
    <s v="634 Main St"/>
    <s v="Debit Card"/>
    <x v="1"/>
    <s v="Referral"/>
    <n v="417.1"/>
  </r>
  <r>
    <s v="ORD200061"/>
    <x v="61"/>
    <x v="6"/>
    <x v="3"/>
    <n v="122.2"/>
    <s v="104 Main St"/>
    <s v="Cash"/>
    <x v="0"/>
    <s v="Facebook"/>
    <n v="488.8"/>
  </r>
  <r>
    <s v="ORD200062"/>
    <x v="62"/>
    <x v="6"/>
    <x v="1"/>
    <n v="43.15"/>
    <s v="691 Main St"/>
    <s v="Debit Card"/>
    <x v="1"/>
    <s v="Email"/>
    <n v="86.3"/>
  </r>
  <r>
    <s v="ORD200063"/>
    <x v="63"/>
    <x v="3"/>
    <x v="2"/>
    <n v="564.86"/>
    <s v="813 Main St"/>
    <s v="Debit Card"/>
    <x v="5"/>
    <s v="Referral"/>
    <n v="564.86"/>
  </r>
  <r>
    <s v="ORD200064"/>
    <x v="64"/>
    <x v="4"/>
    <x v="4"/>
    <n v="130.61000000000001"/>
    <s v="752 Main St"/>
    <s v="Debit Card"/>
    <x v="4"/>
    <s v="Facebook"/>
    <n v="391.83"/>
  </r>
  <r>
    <s v="ORD200065"/>
    <x v="65"/>
    <x v="0"/>
    <x v="0"/>
    <n v="81.7"/>
    <s v="385 Main St"/>
    <s v="Credit Card"/>
    <x v="5"/>
    <s v="Instagram"/>
    <n v="408.5"/>
  </r>
  <r>
    <s v="ORD200066"/>
    <x v="66"/>
    <x v="3"/>
    <x v="0"/>
    <n v="127.18"/>
    <s v="715 Main St"/>
    <s v="Cash"/>
    <x v="6"/>
    <s v="Referral"/>
    <n v="635.90000000000009"/>
  </r>
  <r>
    <s v="ORD200067"/>
    <x v="67"/>
    <x v="4"/>
    <x v="3"/>
    <n v="12.1"/>
    <s v="440 Main St"/>
    <s v="Debit Card"/>
    <x v="2"/>
    <s v="Google"/>
    <n v="48.4"/>
  </r>
  <r>
    <s v="ORD200068"/>
    <x v="68"/>
    <x v="3"/>
    <x v="4"/>
    <n v="490.92"/>
    <s v="709 Main St"/>
    <s v="Credit Card"/>
    <x v="3"/>
    <s v="Email"/>
    <n v="1472.76"/>
  </r>
  <r>
    <s v="ORD200069"/>
    <x v="69"/>
    <x v="0"/>
    <x v="4"/>
    <n v="478.65"/>
    <s v="552 Main St"/>
    <s v="Online"/>
    <x v="4"/>
    <s v="Referral"/>
    <n v="1435.95"/>
  </r>
  <r>
    <s v="ORD200070"/>
    <x v="70"/>
    <x v="6"/>
    <x v="2"/>
    <n v="629.21"/>
    <s v="384 Main St"/>
    <s v="Gift Card"/>
    <x v="7"/>
    <s v="Instagram"/>
    <n v="629.21"/>
  </r>
  <r>
    <s v="ORD200071"/>
    <x v="71"/>
    <x v="0"/>
    <x v="4"/>
    <n v="434.45"/>
    <s v="923 Main St"/>
    <s v="Credit Card"/>
    <x v="4"/>
    <s v="Referral"/>
    <n v="1303.3499999999999"/>
  </r>
  <r>
    <s v="ORD200072"/>
    <x v="72"/>
    <x v="2"/>
    <x v="3"/>
    <n v="589.44000000000005"/>
    <s v="942 Main St"/>
    <s v="Gift Card"/>
    <x v="3"/>
    <s v="Facebook"/>
    <n v="2357.7600000000002"/>
  </r>
  <r>
    <s v="ORD200073"/>
    <x v="73"/>
    <x v="0"/>
    <x v="3"/>
    <n v="433.45"/>
    <s v="129 Main St"/>
    <s v="Gift Card"/>
    <x v="4"/>
    <s v="Facebook"/>
    <n v="1733.8"/>
  </r>
  <r>
    <s v="ORD200074"/>
    <x v="74"/>
    <x v="1"/>
    <x v="0"/>
    <n v="90.87"/>
    <s v="622 Main St"/>
    <s v="Cash"/>
    <x v="3"/>
    <s v="Instagram"/>
    <n v="454.35"/>
  </r>
  <r>
    <s v="ORD200075"/>
    <x v="75"/>
    <x v="2"/>
    <x v="4"/>
    <n v="398.17"/>
    <s v="917 Main St"/>
    <s v="Debit Card"/>
    <x v="3"/>
    <s v="Email"/>
    <n v="1194.51"/>
  </r>
  <r>
    <s v="ORD200076"/>
    <x v="76"/>
    <x v="5"/>
    <x v="3"/>
    <n v="382.88"/>
    <s v="239 Main St"/>
    <s v="Cash"/>
    <x v="5"/>
    <s v="Email"/>
    <n v="1531.52"/>
  </r>
  <r>
    <s v="ORD200077"/>
    <x v="77"/>
    <x v="1"/>
    <x v="2"/>
    <n v="583.17999999999995"/>
    <s v="348 Main St"/>
    <s v="Credit Card"/>
    <x v="3"/>
    <s v="Google"/>
    <n v="583.17999999999995"/>
  </r>
  <r>
    <s v="ORD200078"/>
    <x v="78"/>
    <x v="4"/>
    <x v="3"/>
    <n v="175.36"/>
    <s v="146 Main St"/>
    <s v="Debit Card"/>
    <x v="4"/>
    <s v="Instagram"/>
    <n v="701.44"/>
  </r>
  <r>
    <s v="ORD200079"/>
    <x v="79"/>
    <x v="2"/>
    <x v="1"/>
    <n v="311.91000000000003"/>
    <s v="103 Main St"/>
    <s v="Online"/>
    <x v="7"/>
    <s v="Facebook"/>
    <n v="623.82000000000005"/>
  </r>
  <r>
    <s v="ORD200080"/>
    <x v="80"/>
    <x v="1"/>
    <x v="4"/>
    <n v="589.55999999999995"/>
    <s v="591 Main St"/>
    <s v="Online"/>
    <x v="5"/>
    <s v="Facebook"/>
    <n v="1768.68"/>
  </r>
  <r>
    <s v="ORD200081"/>
    <x v="81"/>
    <x v="0"/>
    <x v="1"/>
    <n v="394.3"/>
    <s v="496 Main St"/>
    <s v="Cash"/>
    <x v="5"/>
    <s v="Email"/>
    <n v="788.6"/>
  </r>
  <r>
    <s v="ORD200082"/>
    <x v="82"/>
    <x v="2"/>
    <x v="3"/>
    <n v="565.20000000000005"/>
    <s v="971 Main St"/>
    <s v="Debit Card"/>
    <x v="6"/>
    <s v="Google"/>
    <n v="2260.8000000000002"/>
  </r>
  <r>
    <s v="ORD200083"/>
    <x v="83"/>
    <x v="5"/>
    <x v="3"/>
    <n v="540.41"/>
    <s v="989 Main St"/>
    <s v="Credit Card"/>
    <x v="5"/>
    <s v="Referral"/>
    <n v="2161.64"/>
  </r>
  <r>
    <s v="ORD200084"/>
    <x v="84"/>
    <x v="0"/>
    <x v="1"/>
    <n v="165.49"/>
    <s v="967 Main St"/>
    <s v="Online"/>
    <x v="4"/>
    <s v="Instagram"/>
    <n v="330.98"/>
  </r>
  <r>
    <s v="ORD200085"/>
    <x v="85"/>
    <x v="2"/>
    <x v="4"/>
    <n v="146.72999999999999"/>
    <s v="768 Main St"/>
    <s v="Cash"/>
    <x v="2"/>
    <s v="Email"/>
    <n v="440.18999999999988"/>
  </r>
  <r>
    <s v="ORD200086"/>
    <x v="86"/>
    <x v="4"/>
    <x v="0"/>
    <n v="643.03"/>
    <s v="447 Main St"/>
    <s v="Online"/>
    <x v="3"/>
    <s v="Referral"/>
    <n v="3215.15"/>
  </r>
  <r>
    <s v="ORD200087"/>
    <x v="87"/>
    <x v="2"/>
    <x v="4"/>
    <n v="225.11"/>
    <s v="915 Main St"/>
    <s v="Cash"/>
    <x v="4"/>
    <s v="Facebook"/>
    <n v="675.33"/>
  </r>
  <r>
    <s v="ORD200088"/>
    <x v="88"/>
    <x v="6"/>
    <x v="4"/>
    <n v="114.81"/>
    <s v="318 Main St"/>
    <s v="Gift Card"/>
    <x v="0"/>
    <s v="Google"/>
    <n v="344.43"/>
  </r>
  <r>
    <s v="ORD200089"/>
    <x v="89"/>
    <x v="4"/>
    <x v="0"/>
    <n v="455.33"/>
    <s v="291 Main St"/>
    <s v="Credit Card"/>
    <x v="2"/>
    <s v="Google"/>
    <n v="2276.65"/>
  </r>
  <r>
    <s v="ORD200090"/>
    <x v="90"/>
    <x v="3"/>
    <x v="3"/>
    <n v="182.08"/>
    <s v="611 Main St"/>
    <s v="Gift Card"/>
    <x v="4"/>
    <s v="Email"/>
    <n v="728.32"/>
  </r>
  <r>
    <s v="ORD200091"/>
    <x v="91"/>
    <x v="5"/>
    <x v="0"/>
    <n v="492.75"/>
    <s v="196 Main St"/>
    <s v="Cash"/>
    <x v="5"/>
    <s v="Referral"/>
    <n v="2463.75"/>
  </r>
  <r>
    <s v="ORD200092"/>
    <x v="92"/>
    <x v="4"/>
    <x v="3"/>
    <n v="48.61"/>
    <s v="203 Main St"/>
    <s v="Online"/>
    <x v="0"/>
    <s v="Facebook"/>
    <n v="194.44"/>
  </r>
  <r>
    <s v="ORD200093"/>
    <x v="93"/>
    <x v="6"/>
    <x v="3"/>
    <n v="431.01"/>
    <s v="837 Main St"/>
    <s v="Credit Card"/>
    <x v="0"/>
    <s v="Referral"/>
    <n v="1724.04"/>
  </r>
  <r>
    <s v="ORD200094"/>
    <x v="94"/>
    <x v="3"/>
    <x v="2"/>
    <n v="531.17999999999995"/>
    <s v="781 Main St"/>
    <s v="Gift Card"/>
    <x v="5"/>
    <s v="Instagram"/>
    <n v="531.17999999999995"/>
  </r>
  <r>
    <s v="ORD200095"/>
    <x v="95"/>
    <x v="4"/>
    <x v="3"/>
    <n v="117.51"/>
    <s v="839 Main St"/>
    <s v="Debit Card"/>
    <x v="0"/>
    <s v="Referral"/>
    <n v="470.04"/>
  </r>
  <r>
    <s v="ORD200096"/>
    <x v="96"/>
    <x v="1"/>
    <x v="1"/>
    <n v="232.83"/>
    <s v="103 Main St"/>
    <s v="Gift Card"/>
    <x v="0"/>
    <s v="Instagram"/>
    <n v="465.66"/>
  </r>
  <r>
    <s v="ORD200097"/>
    <x v="97"/>
    <x v="2"/>
    <x v="0"/>
    <n v="619.52"/>
    <s v="922 Main St"/>
    <s v="Debit Card"/>
    <x v="6"/>
    <s v="Email"/>
    <n v="3097.6"/>
  </r>
  <r>
    <s v="ORD200098"/>
    <x v="98"/>
    <x v="4"/>
    <x v="1"/>
    <n v="228.54"/>
    <s v="533 Main St"/>
    <s v="Debit Card"/>
    <x v="1"/>
    <s v="Email"/>
    <n v="457.08"/>
  </r>
  <r>
    <s v="ORD200099"/>
    <x v="99"/>
    <x v="4"/>
    <x v="2"/>
    <n v="201.58"/>
    <s v="717 Main St"/>
    <s v="Debit Card"/>
    <x v="7"/>
    <s v="Email"/>
    <n v="201.58"/>
  </r>
  <r>
    <s v="ORD200100"/>
    <x v="100"/>
    <x v="1"/>
    <x v="4"/>
    <n v="664.79"/>
    <s v="743 Main St"/>
    <s v="Online"/>
    <x v="5"/>
    <s v="Facebook"/>
    <n v="1994.37"/>
  </r>
  <r>
    <s v="ORD200101"/>
    <x v="101"/>
    <x v="4"/>
    <x v="2"/>
    <n v="381.02"/>
    <s v="152 Main St"/>
    <s v="Cash"/>
    <x v="5"/>
    <s v="Google"/>
    <n v="381.02"/>
  </r>
  <r>
    <s v="ORD200102"/>
    <x v="102"/>
    <x v="5"/>
    <x v="1"/>
    <n v="70.34"/>
    <s v="944 Main St"/>
    <s v="Gift Card"/>
    <x v="1"/>
    <s v="Email"/>
    <n v="140.68"/>
  </r>
  <r>
    <s v="ORD200103"/>
    <x v="103"/>
    <x v="1"/>
    <x v="3"/>
    <n v="218.43"/>
    <s v="514 Main St"/>
    <s v="Credit Card"/>
    <x v="6"/>
    <s v="Email"/>
    <n v="873.72"/>
  </r>
  <r>
    <s v="ORD200104"/>
    <x v="104"/>
    <x v="1"/>
    <x v="2"/>
    <n v="582.04"/>
    <s v="647 Main St"/>
    <s v="Gift Card"/>
    <x v="9"/>
    <s v="Email"/>
    <n v="582.04"/>
  </r>
  <r>
    <s v="ORD200105"/>
    <x v="105"/>
    <x v="4"/>
    <x v="4"/>
    <n v="185.4"/>
    <s v="810 Main St"/>
    <s v="Gift Card"/>
    <x v="0"/>
    <s v="Facebook"/>
    <n v="556.20000000000005"/>
  </r>
  <r>
    <s v="ORD200106"/>
    <x v="106"/>
    <x v="6"/>
    <x v="4"/>
    <n v="465.05"/>
    <s v="126 Main St"/>
    <s v="Credit Card"/>
    <x v="1"/>
    <s v="Email"/>
    <n v="1395.15"/>
  </r>
  <r>
    <s v="ORD200107"/>
    <x v="107"/>
    <x v="4"/>
    <x v="0"/>
    <n v="670.75"/>
    <s v="848 Main St"/>
    <s v="Gift Card"/>
    <x v="2"/>
    <s v="Instagram"/>
    <n v="3353.75"/>
  </r>
  <r>
    <s v="ORD200108"/>
    <x v="108"/>
    <x v="5"/>
    <x v="0"/>
    <n v="48.38"/>
    <s v="522 Main St"/>
    <s v="Gift Card"/>
    <x v="6"/>
    <s v="Email"/>
    <n v="241.9"/>
  </r>
  <r>
    <s v="ORD200109"/>
    <x v="109"/>
    <x v="6"/>
    <x v="4"/>
    <n v="592.87"/>
    <s v="131 Main St"/>
    <s v="Gift Card"/>
    <x v="1"/>
    <s v="Referral"/>
    <n v="1778.61"/>
  </r>
  <r>
    <s v="ORD200110"/>
    <x v="110"/>
    <x v="2"/>
    <x v="2"/>
    <n v="220.77"/>
    <s v="388 Main St"/>
    <s v="Gift Card"/>
    <x v="3"/>
    <s v="Instagram"/>
    <n v="220.77"/>
  </r>
  <r>
    <s v="ORD200111"/>
    <x v="111"/>
    <x v="6"/>
    <x v="4"/>
    <n v="309.22000000000003"/>
    <s v="620 Main St"/>
    <s v="Online"/>
    <x v="0"/>
    <s v="Google"/>
    <n v="927.66000000000008"/>
  </r>
  <r>
    <s v="ORD200112"/>
    <x v="112"/>
    <x v="0"/>
    <x v="2"/>
    <n v="410.6"/>
    <s v="423 Main St"/>
    <s v="Online"/>
    <x v="7"/>
    <s v="Referral"/>
    <n v="410.6"/>
  </r>
  <r>
    <s v="ORD200113"/>
    <x v="113"/>
    <x v="5"/>
    <x v="0"/>
    <n v="190.08"/>
    <s v="605 Main St"/>
    <s v="Cash"/>
    <x v="6"/>
    <s v="Instagram"/>
    <n v="950.40000000000009"/>
  </r>
  <r>
    <s v="ORD200114"/>
    <x v="114"/>
    <x v="0"/>
    <x v="0"/>
    <n v="498.48"/>
    <s v="115 Main St"/>
    <s v="Online"/>
    <x v="2"/>
    <s v="Google"/>
    <n v="2492.4"/>
  </r>
  <r>
    <s v="ORD200115"/>
    <x v="115"/>
    <x v="1"/>
    <x v="0"/>
    <n v="374.99"/>
    <s v="122 Main St"/>
    <s v="Online"/>
    <x v="6"/>
    <s v="Facebook"/>
    <n v="1874.95"/>
  </r>
  <r>
    <s v="ORD200116"/>
    <x v="116"/>
    <x v="4"/>
    <x v="3"/>
    <n v="291.35000000000002"/>
    <s v="109 Main St"/>
    <s v="Credit Card"/>
    <x v="5"/>
    <s v="Facebook"/>
    <n v="1165.4000000000001"/>
  </r>
  <r>
    <s v="ORD200117"/>
    <x v="117"/>
    <x v="2"/>
    <x v="2"/>
    <n v="535.5"/>
    <s v="593 Main St"/>
    <s v="Gift Card"/>
    <x v="3"/>
    <s v="Referral"/>
    <n v="535.5"/>
  </r>
  <r>
    <s v="ORD200118"/>
    <x v="118"/>
    <x v="4"/>
    <x v="0"/>
    <n v="502.71"/>
    <s v="807 Main St"/>
    <s v="Gift Card"/>
    <x v="0"/>
    <s v="Google"/>
    <n v="2513.5500000000002"/>
  </r>
  <r>
    <s v="ORD200119"/>
    <x v="119"/>
    <x v="6"/>
    <x v="1"/>
    <n v="534.66999999999996"/>
    <s v="187 Main St"/>
    <s v="Debit Card"/>
    <x v="0"/>
    <s v="Referral"/>
    <n v="1069.3399999999999"/>
  </r>
  <r>
    <s v="ORD200120"/>
    <x v="120"/>
    <x v="2"/>
    <x v="3"/>
    <n v="629.34"/>
    <s v="986 Main St"/>
    <s v="Cash"/>
    <x v="4"/>
    <s v="Instagram"/>
    <n v="2517.36"/>
  </r>
  <r>
    <s v="ORD200121"/>
    <x v="121"/>
    <x v="6"/>
    <x v="2"/>
    <n v="410.78"/>
    <s v="673 Main St"/>
    <s v="Cash"/>
    <x v="9"/>
    <s v="Instagram"/>
    <n v="410.78"/>
  </r>
  <r>
    <s v="ORD200122"/>
    <x v="122"/>
    <x v="5"/>
    <x v="1"/>
    <n v="533.02"/>
    <s v="588 Main St"/>
    <s v="Gift Card"/>
    <x v="7"/>
    <s v="Facebook"/>
    <n v="1066.04"/>
  </r>
  <r>
    <s v="ORD200123"/>
    <x v="123"/>
    <x v="6"/>
    <x v="4"/>
    <n v="278.04000000000002"/>
    <s v="727 Main St"/>
    <s v="Online"/>
    <x v="3"/>
    <s v="Instagram"/>
    <n v="834.12000000000012"/>
  </r>
  <r>
    <s v="ORD200124"/>
    <x v="124"/>
    <x v="4"/>
    <x v="3"/>
    <n v="283.79000000000002"/>
    <s v="563 Main St"/>
    <s v="Online"/>
    <x v="2"/>
    <s v="Google"/>
    <n v="1135.1600000000001"/>
  </r>
  <r>
    <s v="ORD200125"/>
    <x v="125"/>
    <x v="1"/>
    <x v="1"/>
    <n v="512.65"/>
    <s v="758 Main St"/>
    <s v="Credit Card"/>
    <x v="3"/>
    <s v="Email"/>
    <n v="1025.3"/>
  </r>
  <r>
    <s v="ORD200126"/>
    <x v="126"/>
    <x v="6"/>
    <x v="3"/>
    <n v="275.5"/>
    <s v="353 Main St"/>
    <s v="Gift Card"/>
    <x v="2"/>
    <s v="Google"/>
    <n v="1102"/>
  </r>
  <r>
    <s v="ORD200127"/>
    <x v="127"/>
    <x v="6"/>
    <x v="4"/>
    <n v="469.32"/>
    <s v="365 Main St"/>
    <s v="Debit Card"/>
    <x v="1"/>
    <s v="Google"/>
    <n v="1407.96"/>
  </r>
  <r>
    <s v="ORD200128"/>
    <x v="128"/>
    <x v="2"/>
    <x v="3"/>
    <n v="21.07"/>
    <s v="244 Main St"/>
    <s v="Gift Card"/>
    <x v="4"/>
    <s v="Google"/>
    <n v="84.28"/>
  </r>
  <r>
    <s v="ORD200129"/>
    <x v="129"/>
    <x v="5"/>
    <x v="3"/>
    <n v="263.93"/>
    <s v="427 Main St"/>
    <s v="Debit Card"/>
    <x v="4"/>
    <s v="Facebook"/>
    <n v="1055.72"/>
  </r>
  <r>
    <s v="ORD200130"/>
    <x v="130"/>
    <x v="6"/>
    <x v="4"/>
    <n v="501.3"/>
    <s v="513 Main St"/>
    <s v="Online"/>
    <x v="1"/>
    <s v="Facebook"/>
    <n v="1503.9"/>
  </r>
  <r>
    <s v="ORD200131"/>
    <x v="131"/>
    <x v="2"/>
    <x v="2"/>
    <n v="84.8"/>
    <s v="606 Main St"/>
    <s v="Gift Card"/>
    <x v="3"/>
    <s v="Instagram"/>
    <n v="84.8"/>
  </r>
  <r>
    <s v="ORD200132"/>
    <x v="132"/>
    <x v="2"/>
    <x v="3"/>
    <n v="450.75"/>
    <s v="583 Main St"/>
    <s v="Credit Card"/>
    <x v="5"/>
    <s v="Email"/>
    <n v="1803"/>
  </r>
  <r>
    <s v="ORD200133"/>
    <x v="133"/>
    <x v="3"/>
    <x v="3"/>
    <n v="302.05"/>
    <s v="636 Main St"/>
    <s v="Debit Card"/>
    <x v="5"/>
    <s v="Google"/>
    <n v="1208.2"/>
  </r>
  <r>
    <s v="ORD200134"/>
    <x v="134"/>
    <x v="5"/>
    <x v="1"/>
    <n v="199.7"/>
    <s v="583 Main St"/>
    <s v="Cash"/>
    <x v="4"/>
    <s v="Email"/>
    <n v="399.4"/>
  </r>
  <r>
    <s v="ORD200135"/>
    <x v="135"/>
    <x v="4"/>
    <x v="1"/>
    <n v="68.81"/>
    <s v="642 Main St"/>
    <s v="Gift Card"/>
    <x v="3"/>
    <s v="Referral"/>
    <n v="137.62"/>
  </r>
  <r>
    <s v="ORD200136"/>
    <x v="136"/>
    <x v="5"/>
    <x v="2"/>
    <n v="44.35"/>
    <s v="595 Main St"/>
    <s v="Gift Card"/>
    <x v="9"/>
    <s v="Instagram"/>
    <n v="44.35"/>
  </r>
  <r>
    <s v="ORD200137"/>
    <x v="137"/>
    <x v="0"/>
    <x v="1"/>
    <n v="250.98"/>
    <s v="598 Main St"/>
    <s v="Credit Card"/>
    <x v="3"/>
    <s v="Google"/>
    <n v="501.96"/>
  </r>
  <r>
    <s v="ORD200138"/>
    <x v="138"/>
    <x v="2"/>
    <x v="2"/>
    <n v="298.06"/>
    <s v="478 Main St"/>
    <s v="Debit Card"/>
    <x v="1"/>
    <s v="Google"/>
    <n v="298.06"/>
  </r>
  <r>
    <s v="ORD200139"/>
    <x v="139"/>
    <x v="1"/>
    <x v="2"/>
    <n v="583.9"/>
    <s v="714 Main St"/>
    <s v="Cash"/>
    <x v="9"/>
    <s v="Email"/>
    <n v="583.9"/>
  </r>
  <r>
    <s v="ORD200140"/>
    <x v="140"/>
    <x v="3"/>
    <x v="4"/>
    <n v="528.14"/>
    <s v="388 Main St"/>
    <s v="Online"/>
    <x v="1"/>
    <s v="Email"/>
    <n v="1584.42"/>
  </r>
  <r>
    <s v="ORD200141"/>
    <x v="141"/>
    <x v="4"/>
    <x v="4"/>
    <n v="684.14"/>
    <s v="151 Main St"/>
    <s v="Cash"/>
    <x v="1"/>
    <s v="Instagram"/>
    <n v="2052.42"/>
  </r>
  <r>
    <s v="ORD200142"/>
    <x v="142"/>
    <x v="6"/>
    <x v="0"/>
    <n v="272.77"/>
    <s v="573 Main St"/>
    <s v="Cash"/>
    <x v="0"/>
    <s v="Email"/>
    <n v="1363.85"/>
  </r>
  <r>
    <s v="ORD200143"/>
    <x v="143"/>
    <x v="3"/>
    <x v="3"/>
    <n v="400.07"/>
    <s v="933 Main St"/>
    <s v="Online"/>
    <x v="3"/>
    <s v="Referral"/>
    <n v="1600.28"/>
  </r>
  <r>
    <s v="ORD200144"/>
    <x v="144"/>
    <x v="6"/>
    <x v="0"/>
    <n v="219.78"/>
    <s v="895 Main St"/>
    <s v="Credit Card"/>
    <x v="2"/>
    <s v="Facebook"/>
    <n v="1098.9000000000001"/>
  </r>
  <r>
    <s v="ORD200145"/>
    <x v="145"/>
    <x v="4"/>
    <x v="4"/>
    <n v="146.91"/>
    <s v="798 Main St"/>
    <s v="Credit Card"/>
    <x v="5"/>
    <s v="Google"/>
    <n v="440.73"/>
  </r>
  <r>
    <s v="ORD200146"/>
    <x v="146"/>
    <x v="2"/>
    <x v="1"/>
    <n v="411.49"/>
    <s v="404 Main St"/>
    <s v="Credit Card"/>
    <x v="4"/>
    <s v="Instagram"/>
    <n v="822.98"/>
  </r>
  <r>
    <s v="ORD200147"/>
    <x v="147"/>
    <x v="5"/>
    <x v="1"/>
    <n v="465.18"/>
    <s v="893 Main St"/>
    <s v="Credit Card"/>
    <x v="7"/>
    <s v="Google"/>
    <n v="930.36"/>
  </r>
  <r>
    <s v="ORD200148"/>
    <x v="148"/>
    <x v="1"/>
    <x v="1"/>
    <n v="319.91000000000003"/>
    <s v="139 Main St"/>
    <s v="Credit Card"/>
    <x v="1"/>
    <s v="Google"/>
    <n v="639.82000000000005"/>
  </r>
  <r>
    <s v="ORD200149"/>
    <x v="149"/>
    <x v="5"/>
    <x v="2"/>
    <n v="217.56"/>
    <s v="174 Main St"/>
    <s v="Debit Card"/>
    <x v="1"/>
    <s v="Facebook"/>
    <n v="217.56"/>
  </r>
  <r>
    <s v="ORD200150"/>
    <x v="150"/>
    <x v="1"/>
    <x v="1"/>
    <n v="105.57"/>
    <s v="981 Main St"/>
    <s v="Debit Card"/>
    <x v="3"/>
    <s v="Google"/>
    <n v="211.14"/>
  </r>
  <r>
    <s v="ORD200151"/>
    <x v="151"/>
    <x v="4"/>
    <x v="0"/>
    <n v="444.76"/>
    <s v="947 Main St"/>
    <s v="Debit Card"/>
    <x v="0"/>
    <s v="Email"/>
    <n v="2223.8000000000002"/>
  </r>
  <r>
    <s v="ORD200152"/>
    <x v="152"/>
    <x v="3"/>
    <x v="1"/>
    <n v="399.04"/>
    <s v="659 Main St"/>
    <s v="Cash"/>
    <x v="1"/>
    <s v="Referral"/>
    <n v="798.08"/>
  </r>
  <r>
    <s v="ORD200153"/>
    <x v="153"/>
    <x v="3"/>
    <x v="3"/>
    <n v="534.48"/>
    <s v="437 Main St"/>
    <s v="Online"/>
    <x v="6"/>
    <s v="Instagram"/>
    <n v="2137.92"/>
  </r>
  <r>
    <s v="ORD200154"/>
    <x v="154"/>
    <x v="1"/>
    <x v="3"/>
    <n v="408.21"/>
    <s v="727 Main St"/>
    <s v="Credit Card"/>
    <x v="6"/>
    <s v="Instagram"/>
    <n v="1632.84"/>
  </r>
  <r>
    <s v="ORD200155"/>
    <x v="155"/>
    <x v="1"/>
    <x v="2"/>
    <n v="424.4"/>
    <s v="446 Main St"/>
    <s v="Online"/>
    <x v="5"/>
    <s v="Referral"/>
    <n v="424.4"/>
  </r>
  <r>
    <s v="ORD200156"/>
    <x v="156"/>
    <x v="3"/>
    <x v="1"/>
    <n v="269.83"/>
    <s v="651 Main St"/>
    <s v="Online"/>
    <x v="4"/>
    <s v="Email"/>
    <n v="539.66"/>
  </r>
  <r>
    <s v="ORD200157"/>
    <x v="157"/>
    <x v="0"/>
    <x v="1"/>
    <n v="564.58000000000004"/>
    <s v="636 Main St"/>
    <s v="Online"/>
    <x v="4"/>
    <s v="Facebook"/>
    <n v="1129.1600000000001"/>
  </r>
  <r>
    <s v="ORD200158"/>
    <x v="158"/>
    <x v="2"/>
    <x v="2"/>
    <n v="331.06"/>
    <s v="737 Main St"/>
    <s v="Credit Card"/>
    <x v="3"/>
    <s v="Instagram"/>
    <n v="331.06"/>
  </r>
  <r>
    <s v="ORD200159"/>
    <x v="159"/>
    <x v="4"/>
    <x v="2"/>
    <n v="299.35000000000002"/>
    <s v="819 Main St"/>
    <s v="Credit Card"/>
    <x v="3"/>
    <s v="Email"/>
    <n v="299.35000000000002"/>
  </r>
  <r>
    <s v="ORD200160"/>
    <x v="160"/>
    <x v="0"/>
    <x v="3"/>
    <n v="101.32"/>
    <s v="240 Main St"/>
    <s v="Cash"/>
    <x v="0"/>
    <s v="Referral"/>
    <n v="405.28"/>
  </r>
  <r>
    <s v="ORD200161"/>
    <x v="161"/>
    <x v="0"/>
    <x v="2"/>
    <n v="211.14"/>
    <s v="513 Main St"/>
    <s v="Credit Card"/>
    <x v="9"/>
    <s v="Facebook"/>
    <n v="211.14"/>
  </r>
  <r>
    <s v="ORD200162"/>
    <x v="162"/>
    <x v="3"/>
    <x v="4"/>
    <n v="65.86"/>
    <s v="917 Main St"/>
    <s v="Online"/>
    <x v="2"/>
    <s v="Google"/>
    <n v="197.58"/>
  </r>
  <r>
    <s v="ORD200163"/>
    <x v="163"/>
    <x v="2"/>
    <x v="2"/>
    <n v="641.39"/>
    <s v="277 Main St"/>
    <s v="Online"/>
    <x v="9"/>
    <s v="Referral"/>
    <n v="641.39"/>
  </r>
  <r>
    <s v="ORD200164"/>
    <x v="164"/>
    <x v="6"/>
    <x v="0"/>
    <n v="536.58000000000004"/>
    <s v="667 Main St"/>
    <s v="Gift Card"/>
    <x v="3"/>
    <s v="Google"/>
    <n v="2682.9"/>
  </r>
  <r>
    <s v="ORD200165"/>
    <x v="165"/>
    <x v="0"/>
    <x v="1"/>
    <n v="500.29"/>
    <s v="226 Main St"/>
    <s v="Online"/>
    <x v="0"/>
    <s v="Google"/>
    <n v="1000.58"/>
  </r>
  <r>
    <s v="ORD200166"/>
    <x v="166"/>
    <x v="3"/>
    <x v="4"/>
    <n v="86.29"/>
    <s v="565 Main St"/>
    <s v="Cash"/>
    <x v="5"/>
    <s v="Instagram"/>
    <n v="258.87"/>
  </r>
  <r>
    <s v="ORD200167"/>
    <x v="167"/>
    <x v="3"/>
    <x v="1"/>
    <n v="384.14"/>
    <s v="219 Main St"/>
    <s v="Online"/>
    <x v="7"/>
    <s v="Email"/>
    <n v="768.28"/>
  </r>
  <r>
    <s v="ORD200168"/>
    <x v="168"/>
    <x v="4"/>
    <x v="2"/>
    <n v="594.96"/>
    <s v="878 Main St"/>
    <s v="Cash"/>
    <x v="5"/>
    <s v="Facebook"/>
    <n v="594.96"/>
  </r>
  <r>
    <s v="ORD200169"/>
    <x v="169"/>
    <x v="4"/>
    <x v="2"/>
    <n v="427.82"/>
    <s v="732 Main St"/>
    <s v="Online"/>
    <x v="7"/>
    <s v="Email"/>
    <n v="427.82"/>
  </r>
  <r>
    <s v="ORD200170"/>
    <x v="170"/>
    <x v="6"/>
    <x v="3"/>
    <n v="662.94"/>
    <s v="535 Main St"/>
    <s v="Cash"/>
    <x v="2"/>
    <s v="Instagram"/>
    <n v="2651.76"/>
  </r>
  <r>
    <s v="ORD200171"/>
    <x v="171"/>
    <x v="2"/>
    <x v="1"/>
    <n v="148.22"/>
    <s v="336 Main St"/>
    <s v="Credit Card"/>
    <x v="0"/>
    <s v="Instagram"/>
    <n v="296.44"/>
  </r>
  <r>
    <s v="ORD200172"/>
    <x v="172"/>
    <x v="4"/>
    <x v="2"/>
    <n v="254.12"/>
    <s v="365 Main St"/>
    <s v="Online"/>
    <x v="9"/>
    <s v="Email"/>
    <n v="254.12"/>
  </r>
  <r>
    <s v="ORD200173"/>
    <x v="173"/>
    <x v="1"/>
    <x v="4"/>
    <n v="664.46"/>
    <s v="806 Main St"/>
    <s v="Online"/>
    <x v="4"/>
    <s v="Google"/>
    <n v="1993.38"/>
  </r>
  <r>
    <s v="ORD200174"/>
    <x v="174"/>
    <x v="4"/>
    <x v="3"/>
    <n v="600.80999999999995"/>
    <s v="790 Main St"/>
    <s v="Debit Card"/>
    <x v="6"/>
    <s v="Email"/>
    <n v="2403.2399999999998"/>
  </r>
  <r>
    <s v="ORD200175"/>
    <x v="175"/>
    <x v="3"/>
    <x v="0"/>
    <n v="68.34"/>
    <s v="332 Main St"/>
    <s v="Debit Card"/>
    <x v="5"/>
    <s v="Referral"/>
    <n v="341.7"/>
  </r>
  <r>
    <s v="ORD200176"/>
    <x v="176"/>
    <x v="2"/>
    <x v="3"/>
    <n v="430.83"/>
    <s v="553 Main St"/>
    <s v="Gift Card"/>
    <x v="2"/>
    <s v="Referral"/>
    <n v="1723.32"/>
  </r>
  <r>
    <s v="ORD200177"/>
    <x v="177"/>
    <x v="3"/>
    <x v="0"/>
    <n v="431.69"/>
    <s v="354 Main St"/>
    <s v="Credit Card"/>
    <x v="8"/>
    <s v="Facebook"/>
    <n v="2158.4499999999998"/>
  </r>
  <r>
    <s v="ORD200178"/>
    <x v="178"/>
    <x v="3"/>
    <x v="3"/>
    <n v="512.05999999999995"/>
    <s v="283 Main St"/>
    <s v="Online"/>
    <x v="3"/>
    <s v="Google"/>
    <n v="2048.2399999999998"/>
  </r>
  <r>
    <s v="ORD200179"/>
    <x v="179"/>
    <x v="5"/>
    <x v="4"/>
    <n v="539.91"/>
    <s v="500 Main St"/>
    <s v="Credit Card"/>
    <x v="2"/>
    <s v="Email"/>
    <n v="1619.73"/>
  </r>
  <r>
    <s v="ORD200180"/>
    <x v="180"/>
    <x v="2"/>
    <x v="0"/>
    <n v="316.07"/>
    <s v="970 Main St"/>
    <s v="Cash"/>
    <x v="8"/>
    <s v="Google"/>
    <n v="1580.35"/>
  </r>
  <r>
    <s v="ORD200181"/>
    <x v="181"/>
    <x v="4"/>
    <x v="0"/>
    <n v="404.39"/>
    <s v="247 Main St"/>
    <s v="Online"/>
    <x v="8"/>
    <s v="Referral"/>
    <n v="2021.95"/>
  </r>
  <r>
    <s v="ORD200182"/>
    <x v="182"/>
    <x v="6"/>
    <x v="2"/>
    <n v="600.54"/>
    <s v="596 Main St"/>
    <s v="Debit Card"/>
    <x v="4"/>
    <s v="Google"/>
    <n v="600.54"/>
  </r>
  <r>
    <s v="ORD200183"/>
    <x v="183"/>
    <x v="0"/>
    <x v="0"/>
    <n v="186.28"/>
    <s v="258 Main St"/>
    <s v="Debit Card"/>
    <x v="2"/>
    <s v="Email"/>
    <n v="931.4"/>
  </r>
  <r>
    <s v="ORD200184"/>
    <x v="184"/>
    <x v="2"/>
    <x v="3"/>
    <n v="214.54"/>
    <s v="231 Main St"/>
    <s v="Gift Card"/>
    <x v="0"/>
    <s v="Referral"/>
    <n v="858.16"/>
  </r>
  <r>
    <s v="ORD200185"/>
    <x v="185"/>
    <x v="5"/>
    <x v="2"/>
    <n v="210.7"/>
    <s v="572 Main St"/>
    <s v="Online"/>
    <x v="7"/>
    <s v="Referral"/>
    <n v="210.7"/>
  </r>
  <r>
    <s v="ORD200186"/>
    <x v="186"/>
    <x v="1"/>
    <x v="1"/>
    <n v="133.55000000000001"/>
    <s v="322 Main St"/>
    <s v="Cash"/>
    <x v="0"/>
    <s v="Facebook"/>
    <n v="267.10000000000002"/>
  </r>
  <r>
    <s v="ORD200187"/>
    <x v="187"/>
    <x v="3"/>
    <x v="2"/>
    <n v="590.87"/>
    <s v="689 Main St"/>
    <s v="Gift Card"/>
    <x v="5"/>
    <s v="Referral"/>
    <n v="590.87"/>
  </r>
  <r>
    <s v="ORD200188"/>
    <x v="188"/>
    <x v="3"/>
    <x v="1"/>
    <n v="363.91"/>
    <s v="927 Main St"/>
    <s v="Gift Card"/>
    <x v="7"/>
    <s v="Referral"/>
    <n v="727.82"/>
  </r>
  <r>
    <s v="ORD200189"/>
    <x v="189"/>
    <x v="4"/>
    <x v="0"/>
    <n v="429.45"/>
    <s v="597 Main St"/>
    <s v="Gift Card"/>
    <x v="3"/>
    <s v="Email"/>
    <n v="2147.25"/>
  </r>
  <r>
    <s v="ORD200190"/>
    <x v="190"/>
    <x v="4"/>
    <x v="4"/>
    <n v="223.7"/>
    <s v="725 Main St"/>
    <s v="Cash"/>
    <x v="1"/>
    <s v="Email"/>
    <n v="671.09999999999991"/>
  </r>
  <r>
    <s v="ORD200191"/>
    <x v="191"/>
    <x v="5"/>
    <x v="1"/>
    <n v="488.87"/>
    <s v="505 Main St"/>
    <s v="Online"/>
    <x v="4"/>
    <s v="Google"/>
    <n v="977.74"/>
  </r>
  <r>
    <s v="ORD200192"/>
    <x v="192"/>
    <x v="6"/>
    <x v="2"/>
    <n v="645.46"/>
    <s v="151 Main St"/>
    <s v="Gift Card"/>
    <x v="3"/>
    <s v="Google"/>
    <n v="645.46"/>
  </r>
  <r>
    <s v="ORD200193"/>
    <x v="193"/>
    <x v="4"/>
    <x v="2"/>
    <n v="46.66"/>
    <s v="429 Main St"/>
    <s v="Cash"/>
    <x v="5"/>
    <s v="Google"/>
    <n v="46.66"/>
  </r>
  <r>
    <s v="ORD200194"/>
    <x v="194"/>
    <x v="0"/>
    <x v="2"/>
    <n v="249.57"/>
    <s v="899 Main St"/>
    <s v="Cash"/>
    <x v="1"/>
    <s v="Google"/>
    <n v="249.57"/>
  </r>
  <r>
    <s v="ORD200195"/>
    <x v="195"/>
    <x v="3"/>
    <x v="4"/>
    <n v="619.21"/>
    <s v="801 Main St"/>
    <s v="Debit Card"/>
    <x v="5"/>
    <s v="Email"/>
    <n v="1857.63"/>
  </r>
  <r>
    <s v="ORD200196"/>
    <x v="196"/>
    <x v="6"/>
    <x v="3"/>
    <n v="217.13"/>
    <s v="719 Main St"/>
    <s v="Cash"/>
    <x v="2"/>
    <s v="Email"/>
    <n v="868.52"/>
  </r>
  <r>
    <s v="ORD200197"/>
    <x v="197"/>
    <x v="5"/>
    <x v="0"/>
    <n v="221.51"/>
    <s v="723 Main St"/>
    <s v="Cash"/>
    <x v="3"/>
    <s v="Referral"/>
    <n v="1107.55"/>
  </r>
  <r>
    <s v="ORD200198"/>
    <x v="198"/>
    <x v="5"/>
    <x v="3"/>
    <n v="340.3"/>
    <s v="926 Main St"/>
    <s v="Cash"/>
    <x v="2"/>
    <s v="Referral"/>
    <n v="1361.2"/>
  </r>
  <r>
    <s v="ORD200199"/>
    <x v="199"/>
    <x v="1"/>
    <x v="2"/>
    <n v="625"/>
    <s v="358 Main St"/>
    <s v="Online"/>
    <x v="3"/>
    <s v="Google"/>
    <n v="625"/>
  </r>
  <r>
    <s v="ORD200200"/>
    <x v="200"/>
    <x v="2"/>
    <x v="0"/>
    <n v="433.26"/>
    <s v="895 Main St"/>
    <s v="Credit Card"/>
    <x v="6"/>
    <s v="Google"/>
    <n v="2166.3000000000002"/>
  </r>
  <r>
    <s v="ORD200201"/>
    <x v="201"/>
    <x v="0"/>
    <x v="1"/>
    <n v="674.9"/>
    <s v="146 Main St"/>
    <s v="Online"/>
    <x v="4"/>
    <s v="Facebook"/>
    <n v="1349.8"/>
  </r>
  <r>
    <s v="ORD200202"/>
    <x v="202"/>
    <x v="0"/>
    <x v="4"/>
    <n v="253.98"/>
    <s v="636 Main St"/>
    <s v="Credit Card"/>
    <x v="1"/>
    <s v="Email"/>
    <n v="761.93999999999994"/>
  </r>
  <r>
    <s v="ORD200203"/>
    <x v="203"/>
    <x v="4"/>
    <x v="4"/>
    <n v="356.84"/>
    <s v="172 Main St"/>
    <s v="Online"/>
    <x v="3"/>
    <s v="Instagram"/>
    <n v="1070.52"/>
  </r>
  <r>
    <s v="ORD200204"/>
    <x v="204"/>
    <x v="5"/>
    <x v="3"/>
    <n v="413.71"/>
    <s v="478 Main St"/>
    <s v="Gift Card"/>
    <x v="6"/>
    <s v="Facebook"/>
    <n v="1654.84"/>
  </r>
  <r>
    <s v="ORD200205"/>
    <x v="205"/>
    <x v="6"/>
    <x v="4"/>
    <n v="147.38999999999999"/>
    <s v="609 Main St"/>
    <s v="Debit Card"/>
    <x v="1"/>
    <s v="Email"/>
    <n v="442.17"/>
  </r>
  <r>
    <s v="ORD200206"/>
    <x v="206"/>
    <x v="5"/>
    <x v="3"/>
    <n v="229.1"/>
    <s v="729 Main St"/>
    <s v="Gift Card"/>
    <x v="2"/>
    <s v="Email"/>
    <n v="916.4"/>
  </r>
  <r>
    <s v="ORD200207"/>
    <x v="207"/>
    <x v="1"/>
    <x v="2"/>
    <n v="121.96"/>
    <s v="999 Main St"/>
    <s v="Debit Card"/>
    <x v="1"/>
    <s v="Google"/>
    <n v="121.96"/>
  </r>
  <r>
    <s v="ORD200208"/>
    <x v="208"/>
    <x v="6"/>
    <x v="1"/>
    <n v="408.32"/>
    <s v="597 Main St"/>
    <s v="Online"/>
    <x v="1"/>
    <s v="Facebook"/>
    <n v="816.64"/>
  </r>
  <r>
    <s v="ORD200209"/>
    <x v="209"/>
    <x v="2"/>
    <x v="0"/>
    <n v="187.97"/>
    <s v="706 Main St"/>
    <s v="Cash"/>
    <x v="6"/>
    <s v="Google"/>
    <n v="939.85"/>
  </r>
  <r>
    <s v="ORD200210"/>
    <x v="210"/>
    <x v="3"/>
    <x v="4"/>
    <n v="358.48"/>
    <s v="513 Main St"/>
    <s v="Gift Card"/>
    <x v="0"/>
    <s v="Facebook"/>
    <n v="1075.44"/>
  </r>
  <r>
    <s v="ORD200211"/>
    <x v="211"/>
    <x v="4"/>
    <x v="4"/>
    <n v="193.58"/>
    <s v="185 Main St"/>
    <s v="Gift Card"/>
    <x v="0"/>
    <s v="Email"/>
    <n v="580.74"/>
  </r>
  <r>
    <s v="ORD200212"/>
    <x v="212"/>
    <x v="0"/>
    <x v="2"/>
    <n v="265.38"/>
    <s v="367 Main St"/>
    <s v="Credit Card"/>
    <x v="5"/>
    <s v="Email"/>
    <n v="265.38"/>
  </r>
  <r>
    <s v="ORD200213"/>
    <x v="213"/>
    <x v="5"/>
    <x v="2"/>
    <n v="634.4"/>
    <s v="317 Main St"/>
    <s v="Cash"/>
    <x v="5"/>
    <s v="Email"/>
    <n v="634.4"/>
  </r>
  <r>
    <s v="ORD200214"/>
    <x v="214"/>
    <x v="6"/>
    <x v="3"/>
    <n v="305.72000000000003"/>
    <s v="673 Main St"/>
    <s v="Online"/>
    <x v="3"/>
    <s v="Facebook"/>
    <n v="1222.8800000000001"/>
  </r>
  <r>
    <s v="ORD200215"/>
    <x v="215"/>
    <x v="4"/>
    <x v="2"/>
    <n v="303.60000000000002"/>
    <s v="432 Main St"/>
    <s v="Cash"/>
    <x v="3"/>
    <s v="Facebook"/>
    <n v="303.60000000000002"/>
  </r>
  <r>
    <s v="ORD200216"/>
    <x v="216"/>
    <x v="0"/>
    <x v="3"/>
    <n v="496"/>
    <s v="811 Main St"/>
    <s v="Online"/>
    <x v="2"/>
    <s v="Google"/>
    <n v="1984"/>
  </r>
  <r>
    <s v="ORD200217"/>
    <x v="217"/>
    <x v="6"/>
    <x v="3"/>
    <n v="321.51"/>
    <s v="908 Main St"/>
    <s v="Cash"/>
    <x v="6"/>
    <s v="Google"/>
    <n v="1286.04"/>
  </r>
  <r>
    <s v="ORD200218"/>
    <x v="218"/>
    <x v="2"/>
    <x v="4"/>
    <n v="112.46"/>
    <s v="882 Main St"/>
    <s v="Gift Card"/>
    <x v="5"/>
    <s v="Instagram"/>
    <n v="337.38"/>
  </r>
  <r>
    <s v="ORD200219"/>
    <x v="219"/>
    <x v="5"/>
    <x v="0"/>
    <n v="61.97"/>
    <s v="457 Main St"/>
    <s v="Cash"/>
    <x v="5"/>
    <s v="Email"/>
    <n v="309.85000000000002"/>
  </r>
  <r>
    <s v="ORD200220"/>
    <x v="220"/>
    <x v="5"/>
    <x v="1"/>
    <n v="373.17"/>
    <s v="497 Main St"/>
    <s v="Credit Card"/>
    <x v="5"/>
    <s v="Referral"/>
    <n v="746.34"/>
  </r>
  <r>
    <s v="ORD200221"/>
    <x v="221"/>
    <x v="2"/>
    <x v="0"/>
    <n v="639.37"/>
    <s v="552 Main St"/>
    <s v="Debit Card"/>
    <x v="5"/>
    <s v="Google"/>
    <n v="3196.85"/>
  </r>
  <r>
    <s v="ORD200222"/>
    <x v="222"/>
    <x v="3"/>
    <x v="3"/>
    <n v="693.36"/>
    <s v="931 Main St"/>
    <s v="Online"/>
    <x v="2"/>
    <s v="Instagram"/>
    <n v="2773.44"/>
  </r>
  <r>
    <s v="ORD200223"/>
    <x v="223"/>
    <x v="1"/>
    <x v="3"/>
    <n v="692.91"/>
    <s v="673 Main St"/>
    <s v="Credit Card"/>
    <x v="6"/>
    <s v="Instagram"/>
    <n v="2771.64"/>
  </r>
  <r>
    <s v="ORD200224"/>
    <x v="224"/>
    <x v="4"/>
    <x v="3"/>
    <n v="91.46"/>
    <s v="507 Main St"/>
    <s v="Cash"/>
    <x v="6"/>
    <s v="Referral"/>
    <n v="365.84"/>
  </r>
  <r>
    <s v="ORD200225"/>
    <x v="225"/>
    <x v="1"/>
    <x v="4"/>
    <n v="273.95999999999998"/>
    <s v="692 Main St"/>
    <s v="Debit Card"/>
    <x v="2"/>
    <s v="Google"/>
    <n v="821.87999999999988"/>
  </r>
  <r>
    <s v="ORD200226"/>
    <x v="226"/>
    <x v="6"/>
    <x v="4"/>
    <n v="588.04999999999995"/>
    <s v="242 Main St"/>
    <s v="Gift Card"/>
    <x v="2"/>
    <s v="Instagram"/>
    <n v="1764.15"/>
  </r>
  <r>
    <s v="ORD200227"/>
    <x v="227"/>
    <x v="0"/>
    <x v="1"/>
    <n v="365.17"/>
    <s v="353 Main St"/>
    <s v="Online"/>
    <x v="4"/>
    <s v="Facebook"/>
    <n v="730.34"/>
  </r>
  <r>
    <s v="ORD200228"/>
    <x v="228"/>
    <x v="3"/>
    <x v="3"/>
    <n v="385.92"/>
    <s v="579 Main St"/>
    <s v="Credit Card"/>
    <x v="2"/>
    <s v="Instagram"/>
    <n v="1543.68"/>
  </r>
  <r>
    <s v="ORD200229"/>
    <x v="229"/>
    <x v="2"/>
    <x v="2"/>
    <n v="562.61"/>
    <s v="762 Main St"/>
    <s v="Credit Card"/>
    <x v="1"/>
    <s v="Facebook"/>
    <n v="562.61"/>
  </r>
  <r>
    <s v="ORD200230"/>
    <x v="230"/>
    <x v="6"/>
    <x v="3"/>
    <n v="61.91"/>
    <s v="948 Main St"/>
    <s v="Gift Card"/>
    <x v="5"/>
    <s v="Email"/>
    <n v="247.64"/>
  </r>
  <r>
    <s v="ORD200231"/>
    <x v="231"/>
    <x v="1"/>
    <x v="3"/>
    <n v="41.9"/>
    <s v="327 Main St"/>
    <s v="Gift Card"/>
    <x v="6"/>
    <s v="Instagram"/>
    <n v="167.6"/>
  </r>
  <r>
    <s v="ORD200232"/>
    <x v="232"/>
    <x v="4"/>
    <x v="3"/>
    <n v="444.44"/>
    <s v="610 Main St"/>
    <s v="Debit Card"/>
    <x v="2"/>
    <s v="Google"/>
    <n v="1777.76"/>
  </r>
  <r>
    <s v="ORD200233"/>
    <x v="233"/>
    <x v="1"/>
    <x v="4"/>
    <n v="311.33"/>
    <s v="146 Main St"/>
    <s v="Cash"/>
    <x v="1"/>
    <s v="Instagram"/>
    <n v="933.99"/>
  </r>
  <r>
    <s v="ORD200234"/>
    <x v="234"/>
    <x v="4"/>
    <x v="3"/>
    <n v="236.41"/>
    <s v="337 Main St"/>
    <s v="Debit Card"/>
    <x v="0"/>
    <s v="Google"/>
    <n v="945.64"/>
  </r>
  <r>
    <s v="ORD200235"/>
    <x v="235"/>
    <x v="6"/>
    <x v="2"/>
    <n v="65.45"/>
    <s v="815 Main St"/>
    <s v="Cash"/>
    <x v="7"/>
    <s v="Google"/>
    <n v="65.45"/>
  </r>
  <r>
    <s v="ORD200236"/>
    <x v="236"/>
    <x v="0"/>
    <x v="2"/>
    <n v="318.81"/>
    <s v="562 Main St"/>
    <s v="Debit Card"/>
    <x v="1"/>
    <s v="Email"/>
    <n v="318.81"/>
  </r>
  <r>
    <s v="ORD200237"/>
    <x v="237"/>
    <x v="0"/>
    <x v="4"/>
    <n v="583.72"/>
    <s v="783 Main St"/>
    <s v="Credit Card"/>
    <x v="3"/>
    <s v="Facebook"/>
    <n v="1751.16"/>
  </r>
  <r>
    <s v="ORD200238"/>
    <x v="238"/>
    <x v="6"/>
    <x v="3"/>
    <n v="384.32"/>
    <s v="770 Main St"/>
    <s v="Credit Card"/>
    <x v="5"/>
    <s v="Google"/>
    <n v="1537.28"/>
  </r>
  <r>
    <s v="ORD200239"/>
    <x v="239"/>
    <x v="2"/>
    <x v="4"/>
    <n v="538.74"/>
    <s v="456 Main St"/>
    <s v="Online"/>
    <x v="5"/>
    <s v="Email"/>
    <n v="1616.22"/>
  </r>
  <r>
    <s v="ORD200240"/>
    <x v="240"/>
    <x v="2"/>
    <x v="2"/>
    <n v="17.239999999999998"/>
    <s v="255 Main St"/>
    <s v="Online"/>
    <x v="7"/>
    <s v="Instagram"/>
    <n v="17.239999999999998"/>
  </r>
  <r>
    <s v="ORD200241"/>
    <x v="241"/>
    <x v="3"/>
    <x v="0"/>
    <n v="615.66999999999996"/>
    <s v="407 Main St"/>
    <s v="Online"/>
    <x v="5"/>
    <s v="Email"/>
    <n v="3078.35"/>
  </r>
  <r>
    <s v="ORD200242"/>
    <x v="242"/>
    <x v="4"/>
    <x v="1"/>
    <n v="219.1"/>
    <s v="134 Main St"/>
    <s v="Online"/>
    <x v="4"/>
    <s v="Referral"/>
    <n v="438.2"/>
  </r>
  <r>
    <s v="ORD200243"/>
    <x v="243"/>
    <x v="3"/>
    <x v="1"/>
    <n v="144.66"/>
    <s v="506 Main St"/>
    <s v="Online"/>
    <x v="0"/>
    <s v="Google"/>
    <n v="289.32"/>
  </r>
  <r>
    <s v="ORD200244"/>
    <x v="244"/>
    <x v="6"/>
    <x v="1"/>
    <n v="317.77"/>
    <s v="838 Main St"/>
    <s v="Debit Card"/>
    <x v="4"/>
    <s v="Facebook"/>
    <n v="635.54"/>
  </r>
  <r>
    <s v="ORD200245"/>
    <x v="245"/>
    <x v="5"/>
    <x v="2"/>
    <n v="223.3"/>
    <s v="306 Main St"/>
    <s v="Online"/>
    <x v="9"/>
    <s v="Facebook"/>
    <n v="223.3"/>
  </r>
  <r>
    <s v="ORD200246"/>
    <x v="246"/>
    <x v="6"/>
    <x v="1"/>
    <n v="342.11"/>
    <s v="164 Main St"/>
    <s v="Gift Card"/>
    <x v="7"/>
    <s v="Instagram"/>
    <n v="684.22"/>
  </r>
  <r>
    <s v="ORD200247"/>
    <x v="247"/>
    <x v="4"/>
    <x v="1"/>
    <n v="220.9"/>
    <s v="785 Main St"/>
    <s v="Gift Card"/>
    <x v="4"/>
    <s v="Email"/>
    <n v="441.8"/>
  </r>
  <r>
    <s v="ORD200248"/>
    <x v="248"/>
    <x v="5"/>
    <x v="2"/>
    <n v="670.54"/>
    <s v="471 Main St"/>
    <s v="Cash"/>
    <x v="5"/>
    <s v="Referral"/>
    <n v="670.54"/>
  </r>
  <r>
    <s v="ORD200249"/>
    <x v="249"/>
    <x v="4"/>
    <x v="2"/>
    <n v="546.19000000000005"/>
    <s v="245 Main St"/>
    <s v="Cash"/>
    <x v="3"/>
    <s v="Referral"/>
    <n v="546.19000000000005"/>
  </r>
  <r>
    <s v="ORD200250"/>
    <x v="250"/>
    <x v="6"/>
    <x v="4"/>
    <n v="42.95"/>
    <s v="318 Main St"/>
    <s v="Gift Card"/>
    <x v="2"/>
    <s v="Email"/>
    <n v="128.85"/>
  </r>
  <r>
    <s v="ORD200251"/>
    <x v="251"/>
    <x v="0"/>
    <x v="3"/>
    <n v="14.69"/>
    <s v="814 Main St"/>
    <s v="Cash"/>
    <x v="6"/>
    <s v="Email"/>
    <n v="58.76"/>
  </r>
  <r>
    <s v="ORD200252"/>
    <x v="252"/>
    <x v="1"/>
    <x v="3"/>
    <n v="668.36"/>
    <s v="821 Main St"/>
    <s v="Gift Card"/>
    <x v="3"/>
    <s v="Facebook"/>
    <n v="2673.44"/>
  </r>
  <r>
    <s v="ORD200253"/>
    <x v="253"/>
    <x v="3"/>
    <x v="3"/>
    <n v="413.74"/>
    <s v="743 Main St"/>
    <s v="Gift Card"/>
    <x v="0"/>
    <s v="Instagram"/>
    <n v="1654.96"/>
  </r>
  <r>
    <s v="ORD200254"/>
    <x v="254"/>
    <x v="0"/>
    <x v="4"/>
    <n v="263.19"/>
    <s v="770 Main St"/>
    <s v="Online"/>
    <x v="3"/>
    <s v="Instagram"/>
    <n v="789.56999999999994"/>
  </r>
  <r>
    <s v="ORD200255"/>
    <x v="255"/>
    <x v="0"/>
    <x v="2"/>
    <n v="263.95999999999998"/>
    <s v="806 Main St"/>
    <s v="Gift Card"/>
    <x v="7"/>
    <s v="Google"/>
    <n v="263.95999999999998"/>
  </r>
  <r>
    <s v="ORD200256"/>
    <x v="256"/>
    <x v="3"/>
    <x v="0"/>
    <n v="75.81"/>
    <s v="463 Main St"/>
    <s v="Gift Card"/>
    <x v="8"/>
    <s v="Instagram"/>
    <n v="379.05"/>
  </r>
  <r>
    <s v="ORD200257"/>
    <x v="257"/>
    <x v="1"/>
    <x v="2"/>
    <n v="406.22"/>
    <s v="712 Main St"/>
    <s v="Credit Card"/>
    <x v="3"/>
    <s v="Referral"/>
    <n v="406.22"/>
  </r>
  <r>
    <s v="ORD200258"/>
    <x v="258"/>
    <x v="2"/>
    <x v="1"/>
    <n v="103.41"/>
    <s v="294 Main St"/>
    <s v="Online"/>
    <x v="7"/>
    <s v="Referral"/>
    <n v="206.82"/>
  </r>
  <r>
    <s v="ORD200259"/>
    <x v="259"/>
    <x v="3"/>
    <x v="3"/>
    <n v="435.12"/>
    <s v="636 Main St"/>
    <s v="Credit Card"/>
    <x v="6"/>
    <s v="Instagram"/>
    <n v="1740.48"/>
  </r>
  <r>
    <s v="ORD200260"/>
    <x v="260"/>
    <x v="0"/>
    <x v="1"/>
    <n v="407.79"/>
    <s v="153 Main St"/>
    <s v="Debit Card"/>
    <x v="1"/>
    <s v="Google"/>
    <n v="815.58"/>
  </r>
  <r>
    <s v="ORD200261"/>
    <x v="261"/>
    <x v="1"/>
    <x v="0"/>
    <n v="173.65"/>
    <s v="460 Main St"/>
    <s v="Gift Card"/>
    <x v="6"/>
    <s v="Email"/>
    <n v="868.25"/>
  </r>
  <r>
    <s v="ORD200262"/>
    <x v="262"/>
    <x v="1"/>
    <x v="3"/>
    <n v="249.07"/>
    <s v="642 Main St"/>
    <s v="Credit Card"/>
    <x v="3"/>
    <s v="Referral"/>
    <n v="996.28"/>
  </r>
  <r>
    <s v="ORD200263"/>
    <x v="263"/>
    <x v="1"/>
    <x v="3"/>
    <n v="434.85"/>
    <s v="250 Main St"/>
    <s v="Credit Card"/>
    <x v="4"/>
    <s v="Google"/>
    <n v="1739.4"/>
  </r>
  <r>
    <s v="ORD200264"/>
    <x v="264"/>
    <x v="2"/>
    <x v="2"/>
    <n v="436.77"/>
    <s v="977 Main St"/>
    <s v="Cash"/>
    <x v="3"/>
    <s v="Google"/>
    <n v="436.77"/>
  </r>
  <r>
    <s v="ORD200265"/>
    <x v="265"/>
    <x v="4"/>
    <x v="2"/>
    <n v="572.13"/>
    <s v="150 Main St"/>
    <s v="Debit Card"/>
    <x v="4"/>
    <s v="Google"/>
    <n v="572.13"/>
  </r>
  <r>
    <s v="ORD200266"/>
    <x v="266"/>
    <x v="3"/>
    <x v="3"/>
    <n v="583.07000000000005"/>
    <s v="589 Main St"/>
    <s v="Credit Card"/>
    <x v="5"/>
    <s v="Referral"/>
    <n v="2332.2800000000002"/>
  </r>
  <r>
    <s v="ORD200267"/>
    <x v="267"/>
    <x v="3"/>
    <x v="0"/>
    <n v="468.51"/>
    <s v="803 Main St"/>
    <s v="Debit Card"/>
    <x v="6"/>
    <s v="Facebook"/>
    <n v="2342.5500000000002"/>
  </r>
  <r>
    <s v="ORD200268"/>
    <x v="268"/>
    <x v="1"/>
    <x v="1"/>
    <n v="423.88"/>
    <s v="655 Main St"/>
    <s v="Debit Card"/>
    <x v="0"/>
    <s v="Referral"/>
    <n v="847.76"/>
  </r>
  <r>
    <s v="ORD200269"/>
    <x v="269"/>
    <x v="2"/>
    <x v="3"/>
    <n v="663.67"/>
    <s v="129 Main St"/>
    <s v="Credit Card"/>
    <x v="0"/>
    <s v="Google"/>
    <n v="2654.68"/>
  </r>
  <r>
    <s v="ORD200270"/>
    <x v="270"/>
    <x v="4"/>
    <x v="3"/>
    <n v="309.91000000000003"/>
    <s v="127 Main St"/>
    <s v="Debit Card"/>
    <x v="3"/>
    <s v="Google"/>
    <n v="1239.6400000000001"/>
  </r>
  <r>
    <s v="ORD200271"/>
    <x v="271"/>
    <x v="0"/>
    <x v="2"/>
    <n v="542.07000000000005"/>
    <s v="791 Main St"/>
    <s v="Cash"/>
    <x v="5"/>
    <s v="Referral"/>
    <n v="542.07000000000005"/>
  </r>
  <r>
    <s v="ORD200272"/>
    <x v="272"/>
    <x v="3"/>
    <x v="1"/>
    <n v="399.32"/>
    <s v="119 Main St"/>
    <s v="Online"/>
    <x v="5"/>
    <s v="Instagram"/>
    <n v="798.64"/>
  </r>
  <r>
    <s v="ORD200273"/>
    <x v="273"/>
    <x v="2"/>
    <x v="1"/>
    <n v="238.25"/>
    <s v="974 Main St"/>
    <s v="Online"/>
    <x v="0"/>
    <s v="Email"/>
    <n v="476.5"/>
  </r>
  <r>
    <s v="ORD200274"/>
    <x v="274"/>
    <x v="1"/>
    <x v="1"/>
    <n v="182.4"/>
    <s v="884 Main St"/>
    <s v="Gift Card"/>
    <x v="3"/>
    <s v="Referral"/>
    <n v="364.8"/>
  </r>
  <r>
    <s v="ORD200275"/>
    <x v="275"/>
    <x v="3"/>
    <x v="1"/>
    <n v="65.069999999999993"/>
    <s v="360 Main St"/>
    <s v="Credit Card"/>
    <x v="4"/>
    <s v="Google"/>
    <n v="130.13999999999999"/>
  </r>
  <r>
    <s v="ORD200276"/>
    <x v="276"/>
    <x v="4"/>
    <x v="1"/>
    <n v="600.57000000000005"/>
    <s v="654 Main St"/>
    <s v="Debit Card"/>
    <x v="1"/>
    <s v="Instagram"/>
    <n v="1201.1400000000001"/>
  </r>
  <r>
    <s v="ORD200277"/>
    <x v="277"/>
    <x v="3"/>
    <x v="0"/>
    <n v="90.92"/>
    <s v="910 Main St"/>
    <s v="Credit Card"/>
    <x v="6"/>
    <s v="Facebook"/>
    <n v="454.6"/>
  </r>
  <r>
    <s v="ORD200278"/>
    <x v="278"/>
    <x v="5"/>
    <x v="0"/>
    <n v="362.46"/>
    <s v="299 Main St"/>
    <s v="Cash"/>
    <x v="5"/>
    <s v="Instagram"/>
    <n v="1812.3"/>
  </r>
  <r>
    <s v="ORD200279"/>
    <x v="279"/>
    <x v="3"/>
    <x v="4"/>
    <n v="55.01"/>
    <s v="263 Main St"/>
    <s v="Online"/>
    <x v="0"/>
    <s v="Email"/>
    <n v="165.03"/>
  </r>
  <r>
    <s v="ORD200280"/>
    <x v="280"/>
    <x v="2"/>
    <x v="4"/>
    <n v="404.62"/>
    <s v="740 Main St"/>
    <s v="Gift Card"/>
    <x v="5"/>
    <s v="Instagram"/>
    <n v="1213.8599999999999"/>
  </r>
  <r>
    <s v="ORD200281"/>
    <x v="281"/>
    <x v="6"/>
    <x v="3"/>
    <n v="654.79"/>
    <s v="195 Main St"/>
    <s v="Cash"/>
    <x v="6"/>
    <s v="Referral"/>
    <n v="2619.16"/>
  </r>
  <r>
    <s v="ORD200282"/>
    <x v="282"/>
    <x v="4"/>
    <x v="3"/>
    <n v="637.79"/>
    <s v="375 Main St"/>
    <s v="Gift Card"/>
    <x v="6"/>
    <s v="Google"/>
    <n v="2551.16"/>
  </r>
  <r>
    <s v="ORD200283"/>
    <x v="283"/>
    <x v="5"/>
    <x v="3"/>
    <n v="540.33000000000004"/>
    <s v="990 Main St"/>
    <s v="Cash"/>
    <x v="5"/>
    <s v="Google"/>
    <n v="2161.3200000000002"/>
  </r>
  <r>
    <s v="ORD200284"/>
    <x v="284"/>
    <x v="5"/>
    <x v="0"/>
    <n v="208.17"/>
    <s v="516 Main St"/>
    <s v="Credit Card"/>
    <x v="5"/>
    <s v="Facebook"/>
    <n v="1040.8499999999999"/>
  </r>
  <r>
    <s v="ORD200285"/>
    <x v="285"/>
    <x v="1"/>
    <x v="2"/>
    <n v="338.31"/>
    <s v="974 Main St"/>
    <s v="Online"/>
    <x v="1"/>
    <s v="Google"/>
    <n v="338.31"/>
  </r>
  <r>
    <s v="ORD200286"/>
    <x v="286"/>
    <x v="0"/>
    <x v="4"/>
    <n v="139.44999999999999"/>
    <s v="187 Main St"/>
    <s v="Gift Card"/>
    <x v="2"/>
    <s v="Google"/>
    <n v="418.35"/>
  </r>
  <r>
    <s v="ORD200287"/>
    <x v="287"/>
    <x v="3"/>
    <x v="3"/>
    <n v="655.17999999999995"/>
    <s v="630 Main St"/>
    <s v="Online"/>
    <x v="3"/>
    <s v="Facebook"/>
    <n v="2620.7199999999998"/>
  </r>
  <r>
    <s v="ORD200288"/>
    <x v="288"/>
    <x v="5"/>
    <x v="3"/>
    <n v="512.75"/>
    <s v="537 Main St"/>
    <s v="Debit Card"/>
    <x v="2"/>
    <s v="Google"/>
    <n v="2051"/>
  </r>
  <r>
    <s v="ORD200289"/>
    <x v="289"/>
    <x v="3"/>
    <x v="3"/>
    <n v="160.49"/>
    <s v="333 Main St"/>
    <s v="Credit Card"/>
    <x v="2"/>
    <s v="Referral"/>
    <n v="641.96"/>
  </r>
  <r>
    <s v="ORD200290"/>
    <x v="290"/>
    <x v="3"/>
    <x v="4"/>
    <n v="99.9"/>
    <s v="258 Main St"/>
    <s v="Cash"/>
    <x v="2"/>
    <s v="Facebook"/>
    <n v="299.7"/>
  </r>
  <r>
    <s v="ORD200291"/>
    <x v="291"/>
    <x v="1"/>
    <x v="1"/>
    <n v="345.01"/>
    <s v="670 Main St"/>
    <s v="Credit Card"/>
    <x v="5"/>
    <s v="Google"/>
    <n v="690.02"/>
  </r>
  <r>
    <s v="ORD200292"/>
    <x v="292"/>
    <x v="0"/>
    <x v="2"/>
    <n v="65.95"/>
    <s v="185 Main St"/>
    <s v="Credit Card"/>
    <x v="3"/>
    <s v="Facebook"/>
    <n v="65.95"/>
  </r>
  <r>
    <s v="ORD200293"/>
    <x v="293"/>
    <x v="2"/>
    <x v="3"/>
    <n v="463.04"/>
    <s v="564 Main St"/>
    <s v="Gift Card"/>
    <x v="6"/>
    <s v="Instagram"/>
    <n v="1852.16"/>
  </r>
  <r>
    <s v="ORD200294"/>
    <x v="294"/>
    <x v="1"/>
    <x v="1"/>
    <n v="297.70999999999998"/>
    <s v="208 Main St"/>
    <s v="Online"/>
    <x v="0"/>
    <s v="Referral"/>
    <n v="595.41999999999996"/>
  </r>
  <r>
    <s v="ORD200295"/>
    <x v="295"/>
    <x v="4"/>
    <x v="0"/>
    <n v="107.48"/>
    <s v="278 Main St"/>
    <s v="Debit Card"/>
    <x v="6"/>
    <s v="Email"/>
    <n v="537.4"/>
  </r>
  <r>
    <s v="ORD200296"/>
    <x v="296"/>
    <x v="6"/>
    <x v="0"/>
    <n v="638.79999999999995"/>
    <s v="434 Main St"/>
    <s v="Debit Card"/>
    <x v="8"/>
    <s v="Referral"/>
    <n v="3194"/>
  </r>
  <r>
    <s v="ORD200297"/>
    <x v="297"/>
    <x v="6"/>
    <x v="1"/>
    <n v="493.88"/>
    <s v="252 Main St"/>
    <s v="Credit Card"/>
    <x v="0"/>
    <s v="Instagram"/>
    <n v="987.76"/>
  </r>
  <r>
    <s v="ORD200298"/>
    <x v="298"/>
    <x v="4"/>
    <x v="3"/>
    <n v="301.17"/>
    <s v="267 Main St"/>
    <s v="Online"/>
    <x v="5"/>
    <s v="Email"/>
    <n v="1204.68"/>
  </r>
  <r>
    <s v="ORD200299"/>
    <x v="299"/>
    <x v="0"/>
    <x v="2"/>
    <n v="278.66000000000003"/>
    <s v="856 Main St"/>
    <s v="Gift Card"/>
    <x v="7"/>
    <s v="Instagram"/>
    <n v="278.66000000000003"/>
  </r>
  <r>
    <s v="ORD200300"/>
    <x v="300"/>
    <x v="1"/>
    <x v="2"/>
    <n v="287.45999999999998"/>
    <s v="894 Main St"/>
    <s v="Debit Card"/>
    <x v="1"/>
    <s v="Facebook"/>
    <n v="287.45999999999998"/>
  </r>
  <r>
    <s v="ORD200301"/>
    <x v="301"/>
    <x v="3"/>
    <x v="2"/>
    <n v="583.99"/>
    <s v="726 Main St"/>
    <s v="Cash"/>
    <x v="7"/>
    <s v="Email"/>
    <n v="583.99"/>
  </r>
  <r>
    <s v="ORD200302"/>
    <x v="302"/>
    <x v="3"/>
    <x v="4"/>
    <n v="468.74"/>
    <s v="121 Main St"/>
    <s v="Cash"/>
    <x v="4"/>
    <s v="Instagram"/>
    <n v="1406.22"/>
  </r>
  <r>
    <s v="ORD200303"/>
    <x v="303"/>
    <x v="2"/>
    <x v="2"/>
    <n v="30.54"/>
    <s v="368 Main St"/>
    <s v="Debit Card"/>
    <x v="9"/>
    <s v="Google"/>
    <n v="30.54"/>
  </r>
  <r>
    <s v="ORD200304"/>
    <x v="304"/>
    <x v="0"/>
    <x v="0"/>
    <n v="408.73"/>
    <s v="326 Main St"/>
    <s v="Gift Card"/>
    <x v="8"/>
    <s v="Instagram"/>
    <n v="2043.65"/>
  </r>
  <r>
    <s v="ORD200305"/>
    <x v="305"/>
    <x v="5"/>
    <x v="3"/>
    <n v="126.89"/>
    <s v="235 Main St"/>
    <s v="Cash"/>
    <x v="6"/>
    <s v="Instagram"/>
    <n v="507.56"/>
  </r>
  <r>
    <s v="ORD200306"/>
    <x v="306"/>
    <x v="4"/>
    <x v="1"/>
    <n v="57.07"/>
    <s v="238 Main St"/>
    <s v="Debit Card"/>
    <x v="1"/>
    <s v="Instagram"/>
    <n v="114.14"/>
  </r>
  <r>
    <s v="ORD200307"/>
    <x v="307"/>
    <x v="5"/>
    <x v="4"/>
    <n v="557.41"/>
    <s v="135 Main St"/>
    <s v="Online"/>
    <x v="4"/>
    <s v="Email"/>
    <n v="1672.23"/>
  </r>
  <r>
    <s v="ORD200308"/>
    <x v="308"/>
    <x v="4"/>
    <x v="4"/>
    <n v="448.9"/>
    <s v="790 Main St"/>
    <s v="Debit Card"/>
    <x v="0"/>
    <s v="Instagram"/>
    <n v="1346.7"/>
  </r>
  <r>
    <s v="ORD200309"/>
    <x v="309"/>
    <x v="3"/>
    <x v="3"/>
    <n v="549.76"/>
    <s v="625 Main St"/>
    <s v="Debit Card"/>
    <x v="4"/>
    <s v="Facebook"/>
    <n v="2199.04"/>
  </r>
  <r>
    <s v="ORD200310"/>
    <x v="310"/>
    <x v="4"/>
    <x v="4"/>
    <n v="132.47999999999999"/>
    <s v="968 Main St"/>
    <s v="Online"/>
    <x v="4"/>
    <s v="Referral"/>
    <n v="397.43999999999988"/>
  </r>
  <r>
    <s v="ORD200311"/>
    <x v="311"/>
    <x v="6"/>
    <x v="0"/>
    <n v="489.37"/>
    <s v="274 Main St"/>
    <s v="Online"/>
    <x v="2"/>
    <s v="Instagram"/>
    <n v="2446.85"/>
  </r>
  <r>
    <s v="ORD200312"/>
    <x v="312"/>
    <x v="4"/>
    <x v="0"/>
    <n v="66.31"/>
    <s v="579 Main St"/>
    <s v="Gift Card"/>
    <x v="0"/>
    <s v="Referral"/>
    <n v="331.55"/>
  </r>
  <r>
    <s v="ORD200313"/>
    <x v="313"/>
    <x v="3"/>
    <x v="1"/>
    <n v="434.3"/>
    <s v="978 Main St"/>
    <s v="Cash"/>
    <x v="0"/>
    <s v="Instagram"/>
    <n v="868.6"/>
  </r>
  <r>
    <s v="ORD200314"/>
    <x v="314"/>
    <x v="6"/>
    <x v="3"/>
    <n v="153.09"/>
    <s v="540 Main St"/>
    <s v="Online"/>
    <x v="4"/>
    <s v="Referral"/>
    <n v="612.36"/>
  </r>
  <r>
    <s v="ORD200315"/>
    <x v="315"/>
    <x v="2"/>
    <x v="0"/>
    <n v="91.67"/>
    <s v="301 Main St"/>
    <s v="Online"/>
    <x v="6"/>
    <s v="Email"/>
    <n v="458.35"/>
  </r>
  <r>
    <s v="ORD200316"/>
    <x v="316"/>
    <x v="6"/>
    <x v="3"/>
    <n v="275.27999999999997"/>
    <s v="101 Main St"/>
    <s v="Gift Card"/>
    <x v="6"/>
    <s v="Facebook"/>
    <n v="1101.1199999999999"/>
  </r>
  <r>
    <s v="ORD200317"/>
    <x v="317"/>
    <x v="0"/>
    <x v="1"/>
    <n v="139.94999999999999"/>
    <s v="339 Main St"/>
    <s v="Online"/>
    <x v="3"/>
    <s v="Instagram"/>
    <n v="279.89999999999998"/>
  </r>
  <r>
    <s v="ORD200318"/>
    <x v="318"/>
    <x v="3"/>
    <x v="4"/>
    <n v="148.72"/>
    <s v="317 Main St"/>
    <s v="Debit Card"/>
    <x v="0"/>
    <s v="Google"/>
    <n v="446.16"/>
  </r>
  <r>
    <s v="ORD200319"/>
    <x v="319"/>
    <x v="5"/>
    <x v="1"/>
    <n v="563.05999999999995"/>
    <s v="413 Main St"/>
    <s v="Cash"/>
    <x v="5"/>
    <s v="Instagram"/>
    <n v="1126.1199999999999"/>
  </r>
  <r>
    <s v="ORD200320"/>
    <x v="320"/>
    <x v="4"/>
    <x v="2"/>
    <n v="625.51"/>
    <s v="772 Main St"/>
    <s v="Credit Card"/>
    <x v="9"/>
    <s v="Facebook"/>
    <n v="625.51"/>
  </r>
  <r>
    <s v="ORD200321"/>
    <x v="321"/>
    <x v="1"/>
    <x v="3"/>
    <n v="152.29"/>
    <s v="135 Main St"/>
    <s v="Debit Card"/>
    <x v="5"/>
    <s v="Google"/>
    <n v="609.16"/>
  </r>
  <r>
    <s v="ORD200322"/>
    <x v="322"/>
    <x v="1"/>
    <x v="0"/>
    <n v="231.82"/>
    <s v="339 Main St"/>
    <s v="Debit Card"/>
    <x v="5"/>
    <s v="Facebook"/>
    <n v="1159.0999999999999"/>
  </r>
  <r>
    <s v="ORD200323"/>
    <x v="323"/>
    <x v="5"/>
    <x v="2"/>
    <n v="150.16999999999999"/>
    <s v="414 Main St"/>
    <s v="Debit Card"/>
    <x v="9"/>
    <s v="Referral"/>
    <n v="150.16999999999999"/>
  </r>
  <r>
    <s v="ORD200324"/>
    <x v="324"/>
    <x v="2"/>
    <x v="4"/>
    <n v="70.930000000000007"/>
    <s v="847 Main St"/>
    <s v="Debit Card"/>
    <x v="3"/>
    <s v="Referral"/>
    <n v="212.79"/>
  </r>
  <r>
    <s v="ORD200325"/>
    <x v="325"/>
    <x v="6"/>
    <x v="4"/>
    <n v="361.39"/>
    <s v="665 Main St"/>
    <s v="Credit Card"/>
    <x v="2"/>
    <s v="Referral"/>
    <n v="1084.17"/>
  </r>
  <r>
    <s v="ORD200326"/>
    <x v="326"/>
    <x v="5"/>
    <x v="0"/>
    <n v="670.48"/>
    <s v="273 Main St"/>
    <s v="Gift Card"/>
    <x v="3"/>
    <s v="Facebook"/>
    <n v="3352.4"/>
  </r>
  <r>
    <s v="ORD200327"/>
    <x v="327"/>
    <x v="1"/>
    <x v="2"/>
    <n v="359.99"/>
    <s v="385 Main St"/>
    <s v="Gift Card"/>
    <x v="3"/>
    <s v="Email"/>
    <n v="359.99"/>
  </r>
  <r>
    <s v="ORD200328"/>
    <x v="328"/>
    <x v="2"/>
    <x v="0"/>
    <n v="674.04"/>
    <s v="546 Main St"/>
    <s v="Online"/>
    <x v="0"/>
    <s v="Google"/>
    <n v="3370.2"/>
  </r>
  <r>
    <s v="ORD200329"/>
    <x v="329"/>
    <x v="3"/>
    <x v="3"/>
    <n v="283.16000000000003"/>
    <s v="306 Main St"/>
    <s v="Credit Card"/>
    <x v="5"/>
    <s v="Google"/>
    <n v="1132.6400000000001"/>
  </r>
  <r>
    <s v="ORD200330"/>
    <x v="330"/>
    <x v="6"/>
    <x v="0"/>
    <n v="260.52999999999997"/>
    <s v="532 Main St"/>
    <s v="Gift Card"/>
    <x v="3"/>
    <s v="Instagram"/>
    <n v="1302.6500000000001"/>
  </r>
  <r>
    <s v="ORD200331"/>
    <x v="331"/>
    <x v="4"/>
    <x v="4"/>
    <n v="422.13"/>
    <s v="187 Main St"/>
    <s v="Online"/>
    <x v="0"/>
    <s v="Facebook"/>
    <n v="1266.3900000000001"/>
  </r>
  <r>
    <s v="ORD200332"/>
    <x v="332"/>
    <x v="6"/>
    <x v="0"/>
    <n v="125.02"/>
    <s v="607 Main St"/>
    <s v="Debit Card"/>
    <x v="6"/>
    <s v="Google"/>
    <n v="625.1"/>
  </r>
  <r>
    <s v="ORD200333"/>
    <x v="333"/>
    <x v="1"/>
    <x v="2"/>
    <n v="198.51"/>
    <s v="818 Main St"/>
    <s v="Credit Card"/>
    <x v="3"/>
    <s v="Instagram"/>
    <n v="198.51"/>
  </r>
  <r>
    <s v="ORD200334"/>
    <x v="334"/>
    <x v="3"/>
    <x v="3"/>
    <n v="224.75"/>
    <s v="728 Main St"/>
    <s v="Online"/>
    <x v="0"/>
    <s v="Facebook"/>
    <n v="899"/>
  </r>
  <r>
    <s v="ORD200335"/>
    <x v="335"/>
    <x v="2"/>
    <x v="4"/>
    <n v="205.86"/>
    <s v="978 Main St"/>
    <s v="Gift Card"/>
    <x v="4"/>
    <s v="Email"/>
    <n v="617.58000000000004"/>
  </r>
  <r>
    <s v="ORD200336"/>
    <x v="336"/>
    <x v="5"/>
    <x v="2"/>
    <n v="18.2"/>
    <s v="441 Main St"/>
    <s v="Debit Card"/>
    <x v="4"/>
    <s v="Instagram"/>
    <n v="18.2"/>
  </r>
  <r>
    <s v="ORD200337"/>
    <x v="337"/>
    <x v="2"/>
    <x v="4"/>
    <n v="502.77"/>
    <s v="599 Main St"/>
    <s v="Debit Card"/>
    <x v="2"/>
    <s v="Email"/>
    <n v="1508.31"/>
  </r>
  <r>
    <s v="ORD200338"/>
    <x v="338"/>
    <x v="1"/>
    <x v="0"/>
    <n v="305.49"/>
    <s v="704 Main St"/>
    <s v="Debit Card"/>
    <x v="8"/>
    <s v="Referral"/>
    <n v="1527.45"/>
  </r>
  <r>
    <s v="ORD200339"/>
    <x v="339"/>
    <x v="4"/>
    <x v="1"/>
    <n v="236.33"/>
    <s v="398 Main St"/>
    <s v="Online"/>
    <x v="1"/>
    <s v="Instagram"/>
    <n v="472.66"/>
  </r>
  <r>
    <s v="ORD200340"/>
    <x v="340"/>
    <x v="5"/>
    <x v="0"/>
    <n v="521.25"/>
    <s v="826 Main St"/>
    <s v="Cash"/>
    <x v="2"/>
    <s v="Email"/>
    <n v="2606.25"/>
  </r>
  <r>
    <s v="ORD200341"/>
    <x v="341"/>
    <x v="2"/>
    <x v="2"/>
    <n v="167.15"/>
    <s v="293 Main St"/>
    <s v="Gift Card"/>
    <x v="3"/>
    <s v="Email"/>
    <n v="167.15"/>
  </r>
  <r>
    <s v="ORD200342"/>
    <x v="342"/>
    <x v="0"/>
    <x v="0"/>
    <n v="466.42"/>
    <s v="619 Main St"/>
    <s v="Gift Card"/>
    <x v="3"/>
    <s v="Referral"/>
    <n v="2332.1"/>
  </r>
  <r>
    <s v="ORD200343"/>
    <x v="343"/>
    <x v="4"/>
    <x v="2"/>
    <n v="527.57000000000005"/>
    <s v="919 Main St"/>
    <s v="Debit Card"/>
    <x v="1"/>
    <s v="Facebook"/>
    <n v="527.57000000000005"/>
  </r>
  <r>
    <s v="ORD200344"/>
    <x v="344"/>
    <x v="2"/>
    <x v="4"/>
    <n v="623.34"/>
    <s v="248 Main St"/>
    <s v="Online"/>
    <x v="1"/>
    <s v="Instagram"/>
    <n v="1870.02"/>
  </r>
  <r>
    <s v="ORD200345"/>
    <x v="345"/>
    <x v="2"/>
    <x v="0"/>
    <n v="501.26"/>
    <s v="259 Main St"/>
    <s v="Gift Card"/>
    <x v="8"/>
    <s v="Referral"/>
    <n v="2506.3000000000002"/>
  </r>
  <r>
    <s v="ORD200346"/>
    <x v="346"/>
    <x v="2"/>
    <x v="2"/>
    <n v="655.09"/>
    <s v="876 Main St"/>
    <s v="Cash"/>
    <x v="5"/>
    <s v="Referral"/>
    <n v="655.09"/>
  </r>
  <r>
    <s v="ORD200347"/>
    <x v="347"/>
    <x v="4"/>
    <x v="3"/>
    <n v="264.79000000000002"/>
    <s v="380 Main St"/>
    <s v="Credit Card"/>
    <x v="3"/>
    <s v="Google"/>
    <n v="1059.1600000000001"/>
  </r>
  <r>
    <s v="ORD200348"/>
    <x v="348"/>
    <x v="5"/>
    <x v="4"/>
    <n v="359.73"/>
    <s v="885 Main St"/>
    <s v="Debit Card"/>
    <x v="0"/>
    <s v="Email"/>
    <n v="1079.19"/>
  </r>
  <r>
    <s v="ORD200349"/>
    <x v="349"/>
    <x v="3"/>
    <x v="2"/>
    <n v="465.33"/>
    <s v="824 Main St"/>
    <s v="Gift Card"/>
    <x v="7"/>
    <s v="Google"/>
    <n v="465.33"/>
  </r>
  <r>
    <s v="ORD200350"/>
    <x v="350"/>
    <x v="3"/>
    <x v="1"/>
    <n v="54.41"/>
    <s v="495 Main St"/>
    <s v="Online"/>
    <x v="5"/>
    <s v="Instagram"/>
    <n v="108.82"/>
  </r>
  <r>
    <s v="ORD200351"/>
    <x v="351"/>
    <x v="5"/>
    <x v="2"/>
    <n v="64.66"/>
    <s v="494 Main St"/>
    <s v="Debit Card"/>
    <x v="4"/>
    <s v="Instagram"/>
    <n v="64.66"/>
  </r>
  <r>
    <s v="ORD200352"/>
    <x v="352"/>
    <x v="3"/>
    <x v="0"/>
    <n v="173.96"/>
    <s v="995 Main St"/>
    <s v="Debit Card"/>
    <x v="2"/>
    <s v="Instagram"/>
    <n v="869.80000000000007"/>
  </r>
  <r>
    <s v="ORD200353"/>
    <x v="353"/>
    <x v="2"/>
    <x v="2"/>
    <n v="630.82000000000005"/>
    <s v="171 Main St"/>
    <s v="Online"/>
    <x v="3"/>
    <s v="Google"/>
    <n v="630.82000000000005"/>
  </r>
  <r>
    <s v="ORD200354"/>
    <x v="354"/>
    <x v="1"/>
    <x v="2"/>
    <n v="693.41"/>
    <s v="992 Main St"/>
    <s v="Debit Card"/>
    <x v="4"/>
    <s v="Instagram"/>
    <n v="693.41"/>
  </r>
  <r>
    <s v="ORD200355"/>
    <x v="355"/>
    <x v="2"/>
    <x v="4"/>
    <n v="433.33"/>
    <s v="677 Main St"/>
    <s v="Credit Card"/>
    <x v="4"/>
    <s v="Referral"/>
    <n v="1299.99"/>
  </r>
  <r>
    <s v="ORD200356"/>
    <x v="356"/>
    <x v="4"/>
    <x v="0"/>
    <n v="374.58"/>
    <s v="907 Main St"/>
    <s v="Gift Card"/>
    <x v="8"/>
    <s v="Instagram"/>
    <n v="1872.9"/>
  </r>
  <r>
    <s v="ORD200357"/>
    <x v="357"/>
    <x v="5"/>
    <x v="0"/>
    <n v="408.56"/>
    <s v="398 Main St"/>
    <s v="Debit Card"/>
    <x v="2"/>
    <s v="Instagram"/>
    <n v="2042.8"/>
  </r>
  <r>
    <s v="ORD200358"/>
    <x v="358"/>
    <x v="2"/>
    <x v="1"/>
    <n v="183.67"/>
    <s v="747 Main St"/>
    <s v="Online"/>
    <x v="1"/>
    <s v="Google"/>
    <n v="367.34"/>
  </r>
  <r>
    <s v="ORD200359"/>
    <x v="359"/>
    <x v="6"/>
    <x v="3"/>
    <n v="606.57000000000005"/>
    <s v="303 Main St"/>
    <s v="Debit Card"/>
    <x v="3"/>
    <s v="Referral"/>
    <n v="2426.2800000000002"/>
  </r>
  <r>
    <s v="ORD200360"/>
    <x v="360"/>
    <x v="1"/>
    <x v="3"/>
    <n v="589.57000000000005"/>
    <s v="779 Main St"/>
    <s v="Cash"/>
    <x v="2"/>
    <s v="Instagram"/>
    <n v="2358.2800000000002"/>
  </r>
  <r>
    <s v="ORD200361"/>
    <x v="361"/>
    <x v="4"/>
    <x v="0"/>
    <n v="659.85"/>
    <s v="197 Main St"/>
    <s v="Credit Card"/>
    <x v="6"/>
    <s v="Facebook"/>
    <n v="3299.25"/>
  </r>
  <r>
    <s v="ORD200362"/>
    <x v="362"/>
    <x v="0"/>
    <x v="3"/>
    <n v="206.84"/>
    <s v="312 Main St"/>
    <s v="Cash"/>
    <x v="3"/>
    <s v="Instagram"/>
    <n v="827.36"/>
  </r>
  <r>
    <s v="ORD200363"/>
    <x v="363"/>
    <x v="5"/>
    <x v="0"/>
    <n v="113.87"/>
    <s v="871 Main St"/>
    <s v="Credit Card"/>
    <x v="5"/>
    <s v="Email"/>
    <n v="569.35"/>
  </r>
  <r>
    <s v="ORD200364"/>
    <x v="364"/>
    <x v="1"/>
    <x v="0"/>
    <n v="628.74"/>
    <s v="740 Main St"/>
    <s v="Cash"/>
    <x v="6"/>
    <s v="Facebook"/>
    <n v="3143.7"/>
  </r>
  <r>
    <s v="ORD200365"/>
    <x v="365"/>
    <x v="1"/>
    <x v="2"/>
    <n v="678.38"/>
    <s v="607 Main St"/>
    <s v="Credit Card"/>
    <x v="4"/>
    <s v="Referral"/>
    <n v="678.38"/>
  </r>
  <r>
    <s v="ORD200366"/>
    <x v="366"/>
    <x v="4"/>
    <x v="4"/>
    <n v="602.24"/>
    <s v="603 Main St"/>
    <s v="Debit Card"/>
    <x v="2"/>
    <s v="Referral"/>
    <n v="1806.72"/>
  </r>
  <r>
    <s v="ORD200367"/>
    <x v="367"/>
    <x v="5"/>
    <x v="0"/>
    <n v="658.77"/>
    <s v="712 Main St"/>
    <s v="Gift Card"/>
    <x v="8"/>
    <s v="Instagram"/>
    <n v="3293.85"/>
  </r>
  <r>
    <s v="ORD200368"/>
    <x v="368"/>
    <x v="0"/>
    <x v="4"/>
    <n v="271.02"/>
    <s v="403 Main St"/>
    <s v="Credit Card"/>
    <x v="5"/>
    <s v="Google"/>
    <n v="813.06"/>
  </r>
  <r>
    <s v="ORD200369"/>
    <x v="369"/>
    <x v="0"/>
    <x v="0"/>
    <n v="375.25"/>
    <s v="216 Main St"/>
    <s v="Gift Card"/>
    <x v="6"/>
    <s v="Email"/>
    <n v="1876.25"/>
  </r>
  <r>
    <s v="ORD200370"/>
    <x v="370"/>
    <x v="1"/>
    <x v="2"/>
    <n v="312.11"/>
    <s v="870 Main St"/>
    <s v="Online"/>
    <x v="4"/>
    <s v="Facebook"/>
    <n v="312.11"/>
  </r>
  <r>
    <s v="ORD200371"/>
    <x v="371"/>
    <x v="1"/>
    <x v="0"/>
    <n v="307.76"/>
    <s v="179 Main St"/>
    <s v="Gift Card"/>
    <x v="6"/>
    <s v="Google"/>
    <n v="1538.8"/>
  </r>
  <r>
    <s v="ORD200372"/>
    <x v="372"/>
    <x v="3"/>
    <x v="4"/>
    <n v="483.53"/>
    <s v="166 Main St"/>
    <s v="Cash"/>
    <x v="4"/>
    <s v="Referral"/>
    <n v="1450.59"/>
  </r>
  <r>
    <s v="ORD200373"/>
    <x v="373"/>
    <x v="5"/>
    <x v="4"/>
    <n v="341.15"/>
    <s v="969 Main St"/>
    <s v="Cash"/>
    <x v="4"/>
    <s v="Instagram"/>
    <n v="1023.45"/>
  </r>
  <r>
    <s v="ORD200374"/>
    <x v="374"/>
    <x v="0"/>
    <x v="2"/>
    <n v="571.9"/>
    <s v="129 Main St"/>
    <s v="Gift Card"/>
    <x v="9"/>
    <s v="Instagram"/>
    <n v="571.9"/>
  </r>
  <r>
    <s v="ORD200375"/>
    <x v="375"/>
    <x v="0"/>
    <x v="3"/>
    <n v="95.03"/>
    <s v="400 Main St"/>
    <s v="Online"/>
    <x v="2"/>
    <s v="Facebook"/>
    <n v="380.12"/>
  </r>
  <r>
    <s v="ORD200376"/>
    <x v="376"/>
    <x v="0"/>
    <x v="0"/>
    <n v="201.22"/>
    <s v="341 Main St"/>
    <s v="Debit Card"/>
    <x v="5"/>
    <s v="Facebook"/>
    <n v="1006.1"/>
  </r>
  <r>
    <s v="ORD200377"/>
    <x v="377"/>
    <x v="0"/>
    <x v="2"/>
    <n v="260.26"/>
    <s v="625 Main St"/>
    <s v="Online"/>
    <x v="3"/>
    <s v="Instagram"/>
    <n v="260.26"/>
  </r>
  <r>
    <s v="ORD200378"/>
    <x v="378"/>
    <x v="3"/>
    <x v="0"/>
    <n v="64.5"/>
    <s v="148 Main St"/>
    <s v="Credit Card"/>
    <x v="2"/>
    <s v="Instagram"/>
    <n v="322.5"/>
  </r>
  <r>
    <s v="ORD200379"/>
    <x v="379"/>
    <x v="1"/>
    <x v="4"/>
    <n v="297.67"/>
    <s v="500 Main St"/>
    <s v="Online"/>
    <x v="5"/>
    <s v="Google"/>
    <n v="893.01"/>
  </r>
  <r>
    <s v="ORD200380"/>
    <x v="380"/>
    <x v="4"/>
    <x v="3"/>
    <n v="331.9"/>
    <s v="127 Main St"/>
    <s v="Cash"/>
    <x v="3"/>
    <s v="Instagram"/>
    <n v="1327.6"/>
  </r>
  <r>
    <s v="ORD200381"/>
    <x v="381"/>
    <x v="3"/>
    <x v="2"/>
    <n v="191.76"/>
    <s v="223 Main St"/>
    <s v="Credit Card"/>
    <x v="9"/>
    <s v="Instagram"/>
    <n v="191.76"/>
  </r>
  <r>
    <s v="ORD200382"/>
    <x v="382"/>
    <x v="4"/>
    <x v="3"/>
    <n v="263.08999999999997"/>
    <s v="272 Main St"/>
    <s v="Debit Card"/>
    <x v="2"/>
    <s v="Google"/>
    <n v="1052.3599999999999"/>
  </r>
  <r>
    <s v="ORD200383"/>
    <x v="383"/>
    <x v="3"/>
    <x v="3"/>
    <n v="393.8"/>
    <s v="837 Main St"/>
    <s v="Credit Card"/>
    <x v="0"/>
    <s v="Email"/>
    <n v="1575.2"/>
  </r>
  <r>
    <s v="ORD200384"/>
    <x v="384"/>
    <x v="3"/>
    <x v="4"/>
    <n v="553.57000000000005"/>
    <s v="147 Main St"/>
    <s v="Credit Card"/>
    <x v="4"/>
    <s v="Facebook"/>
    <n v="1660.71"/>
  </r>
  <r>
    <s v="ORD200385"/>
    <x v="385"/>
    <x v="3"/>
    <x v="0"/>
    <n v="191.63"/>
    <s v="752 Main St"/>
    <s v="Gift Card"/>
    <x v="5"/>
    <s v="Facebook"/>
    <n v="958.15"/>
  </r>
  <r>
    <s v="ORD200386"/>
    <x v="386"/>
    <x v="2"/>
    <x v="2"/>
    <n v="93.02"/>
    <s v="373 Main St"/>
    <s v="Online"/>
    <x v="4"/>
    <s v="Email"/>
    <n v="93.02"/>
  </r>
  <r>
    <s v="ORD200387"/>
    <x v="387"/>
    <x v="4"/>
    <x v="1"/>
    <n v="39.53"/>
    <s v="904 Main St"/>
    <s v="Credit Card"/>
    <x v="1"/>
    <s v="Google"/>
    <n v="79.06"/>
  </r>
  <r>
    <s v="ORD200388"/>
    <x v="388"/>
    <x v="4"/>
    <x v="4"/>
    <n v="633.97"/>
    <s v="152 Main St"/>
    <s v="Cash"/>
    <x v="0"/>
    <s v="Facebook"/>
    <n v="1901.91"/>
  </r>
  <r>
    <s v="ORD200389"/>
    <x v="389"/>
    <x v="6"/>
    <x v="3"/>
    <n v="697.5"/>
    <s v="558 Main St"/>
    <s v="Cash"/>
    <x v="0"/>
    <s v="Referral"/>
    <n v="2790"/>
  </r>
  <r>
    <s v="ORD200390"/>
    <x v="390"/>
    <x v="4"/>
    <x v="0"/>
    <n v="508.69"/>
    <s v="885 Main St"/>
    <s v="Cash"/>
    <x v="8"/>
    <s v="Google"/>
    <n v="2543.4499999999998"/>
  </r>
  <r>
    <s v="ORD200391"/>
    <x v="391"/>
    <x v="5"/>
    <x v="1"/>
    <n v="527.46"/>
    <s v="516 Main St"/>
    <s v="Debit Card"/>
    <x v="1"/>
    <s v="Referral"/>
    <n v="1054.92"/>
  </r>
  <r>
    <s v="ORD200392"/>
    <x v="392"/>
    <x v="1"/>
    <x v="2"/>
    <n v="627.20000000000005"/>
    <s v="197 Main St"/>
    <s v="Online"/>
    <x v="9"/>
    <s v="Email"/>
    <n v="627.20000000000005"/>
  </r>
  <r>
    <s v="ORD200393"/>
    <x v="393"/>
    <x v="4"/>
    <x v="2"/>
    <n v="75.010000000000005"/>
    <s v="921 Main St"/>
    <s v="Credit Card"/>
    <x v="1"/>
    <s v="Google"/>
    <n v="75.010000000000005"/>
  </r>
  <r>
    <s v="ORD200394"/>
    <x v="394"/>
    <x v="6"/>
    <x v="0"/>
    <n v="529.54999999999995"/>
    <s v="359 Main St"/>
    <s v="Gift Card"/>
    <x v="8"/>
    <s v="Facebook"/>
    <n v="2647.75"/>
  </r>
  <r>
    <s v="ORD200395"/>
    <x v="395"/>
    <x v="1"/>
    <x v="4"/>
    <n v="127.41"/>
    <s v="830 Main St"/>
    <s v="Gift Card"/>
    <x v="0"/>
    <s v="Referral"/>
    <n v="382.23"/>
  </r>
  <r>
    <s v="ORD200396"/>
    <x v="396"/>
    <x v="2"/>
    <x v="0"/>
    <n v="287.13"/>
    <s v="778 Main St"/>
    <s v="Online"/>
    <x v="8"/>
    <s v="Email"/>
    <n v="1435.65"/>
  </r>
  <r>
    <s v="ORD200397"/>
    <x v="397"/>
    <x v="0"/>
    <x v="2"/>
    <n v="427.06"/>
    <s v="987 Main St"/>
    <s v="Online"/>
    <x v="9"/>
    <s v="Referral"/>
    <n v="427.06"/>
  </r>
  <r>
    <s v="ORD200398"/>
    <x v="398"/>
    <x v="1"/>
    <x v="0"/>
    <n v="53.93"/>
    <s v="729 Main St"/>
    <s v="Gift Card"/>
    <x v="0"/>
    <s v="Instagram"/>
    <n v="269.64999999999998"/>
  </r>
  <r>
    <s v="ORD200399"/>
    <x v="399"/>
    <x v="2"/>
    <x v="0"/>
    <n v="423.93"/>
    <s v="319 Main St"/>
    <s v="Debit Card"/>
    <x v="3"/>
    <s v="Facebook"/>
    <n v="2119.65"/>
  </r>
  <r>
    <s v="ORD200400"/>
    <x v="400"/>
    <x v="6"/>
    <x v="3"/>
    <n v="160.22"/>
    <s v="304 Main St"/>
    <s v="Debit Card"/>
    <x v="6"/>
    <s v="Instagram"/>
    <n v="640.88"/>
  </r>
  <r>
    <s v="ORD200401"/>
    <x v="401"/>
    <x v="4"/>
    <x v="2"/>
    <n v="538.67999999999995"/>
    <s v="197 Main St"/>
    <s v="Debit Card"/>
    <x v="5"/>
    <s v="Referral"/>
    <n v="538.67999999999995"/>
  </r>
  <r>
    <s v="ORD200402"/>
    <x v="402"/>
    <x v="4"/>
    <x v="0"/>
    <n v="337.38"/>
    <s v="858 Main St"/>
    <s v="Gift Card"/>
    <x v="3"/>
    <s v="Referral"/>
    <n v="1686.9"/>
  </r>
  <r>
    <s v="ORD200403"/>
    <x v="403"/>
    <x v="2"/>
    <x v="2"/>
    <n v="620.21"/>
    <s v="740 Main St"/>
    <s v="Online"/>
    <x v="9"/>
    <s v="Referral"/>
    <n v="620.21"/>
  </r>
  <r>
    <s v="ORD200404"/>
    <x v="404"/>
    <x v="0"/>
    <x v="1"/>
    <n v="99.1"/>
    <s v="440 Main St"/>
    <s v="Cash"/>
    <x v="5"/>
    <s v="Instagram"/>
    <n v="198.2"/>
  </r>
  <r>
    <s v="ORD200405"/>
    <x v="405"/>
    <x v="0"/>
    <x v="3"/>
    <n v="451.97"/>
    <s v="603 Main St"/>
    <s v="Online"/>
    <x v="0"/>
    <s v="Email"/>
    <n v="1807.88"/>
  </r>
  <r>
    <s v="ORD200406"/>
    <x v="406"/>
    <x v="2"/>
    <x v="3"/>
    <n v="66.099999999999994"/>
    <s v="572 Main St"/>
    <s v="Cash"/>
    <x v="6"/>
    <s v="Google"/>
    <n v="264.39999999999998"/>
  </r>
  <r>
    <s v="ORD200407"/>
    <x v="407"/>
    <x v="2"/>
    <x v="3"/>
    <n v="547.32000000000005"/>
    <s v="250 Main St"/>
    <s v="Cash"/>
    <x v="2"/>
    <s v="Instagram"/>
    <n v="2189.2800000000002"/>
  </r>
  <r>
    <s v="ORD200408"/>
    <x v="408"/>
    <x v="4"/>
    <x v="4"/>
    <n v="412.53"/>
    <s v="536 Main St"/>
    <s v="Online"/>
    <x v="5"/>
    <s v="Google"/>
    <n v="1237.5899999999999"/>
  </r>
  <r>
    <s v="ORD200409"/>
    <x v="409"/>
    <x v="6"/>
    <x v="0"/>
    <n v="84.13"/>
    <s v="767 Main St"/>
    <s v="Online"/>
    <x v="6"/>
    <s v="Google"/>
    <n v="420.65"/>
  </r>
  <r>
    <s v="ORD200410"/>
    <x v="410"/>
    <x v="2"/>
    <x v="1"/>
    <n v="518.23"/>
    <s v="184 Main St"/>
    <s v="Debit Card"/>
    <x v="3"/>
    <s v="Email"/>
    <n v="1036.46"/>
  </r>
  <r>
    <s v="ORD200411"/>
    <x v="411"/>
    <x v="6"/>
    <x v="1"/>
    <n v="39.51"/>
    <s v="981 Main St"/>
    <s v="Online"/>
    <x v="3"/>
    <s v="Facebook"/>
    <n v="79.02"/>
  </r>
  <r>
    <s v="ORD200412"/>
    <x v="412"/>
    <x v="2"/>
    <x v="0"/>
    <n v="133.01"/>
    <s v="246 Main St"/>
    <s v="Credit Card"/>
    <x v="8"/>
    <s v="Facebook"/>
    <n v="665.05"/>
  </r>
  <r>
    <s v="ORD200413"/>
    <x v="413"/>
    <x v="2"/>
    <x v="2"/>
    <n v="118.8"/>
    <s v="123 Main St"/>
    <s v="Online"/>
    <x v="5"/>
    <s v="Email"/>
    <n v="118.8"/>
  </r>
  <r>
    <s v="ORD200414"/>
    <x v="414"/>
    <x v="6"/>
    <x v="1"/>
    <n v="139.57"/>
    <s v="797 Main St"/>
    <s v="Cash"/>
    <x v="4"/>
    <s v="Facebook"/>
    <n v="279.14"/>
  </r>
  <r>
    <s v="ORD200415"/>
    <x v="415"/>
    <x v="3"/>
    <x v="2"/>
    <n v="184.15"/>
    <s v="655 Main St"/>
    <s v="Gift Card"/>
    <x v="3"/>
    <s v="Facebook"/>
    <n v="184.15"/>
  </r>
  <r>
    <s v="ORD200416"/>
    <x v="416"/>
    <x v="5"/>
    <x v="1"/>
    <n v="644.04999999999995"/>
    <s v="652 Main St"/>
    <s v="Gift Card"/>
    <x v="3"/>
    <s v="Referral"/>
    <n v="1288.0999999999999"/>
  </r>
  <r>
    <s v="ORD200417"/>
    <x v="417"/>
    <x v="5"/>
    <x v="0"/>
    <n v="55.41"/>
    <s v="954 Main St"/>
    <s v="Online"/>
    <x v="3"/>
    <s v="Google"/>
    <n v="277.05"/>
  </r>
  <r>
    <s v="ORD200418"/>
    <x v="418"/>
    <x v="4"/>
    <x v="2"/>
    <n v="310.93"/>
    <s v="862 Main St"/>
    <s v="Online"/>
    <x v="1"/>
    <s v="Facebook"/>
    <n v="310.93"/>
  </r>
  <r>
    <s v="ORD200419"/>
    <x v="419"/>
    <x v="2"/>
    <x v="1"/>
    <n v="216.66"/>
    <s v="885 Main St"/>
    <s v="Debit Card"/>
    <x v="5"/>
    <s v="Instagram"/>
    <n v="433.32"/>
  </r>
  <r>
    <s v="ORD200420"/>
    <x v="420"/>
    <x v="1"/>
    <x v="2"/>
    <n v="452.7"/>
    <s v="439 Main St"/>
    <s v="Debit Card"/>
    <x v="3"/>
    <s v="Instagram"/>
    <n v="452.7"/>
  </r>
  <r>
    <s v="ORD200421"/>
    <x v="421"/>
    <x v="3"/>
    <x v="1"/>
    <n v="288.20999999999998"/>
    <s v="769 Main St"/>
    <s v="Debit Card"/>
    <x v="3"/>
    <s v="Email"/>
    <n v="576.41999999999996"/>
  </r>
  <r>
    <s v="ORD200422"/>
    <x v="422"/>
    <x v="1"/>
    <x v="3"/>
    <n v="206.6"/>
    <s v="914 Main St"/>
    <s v="Gift Card"/>
    <x v="5"/>
    <s v="Referral"/>
    <n v="826.4"/>
  </r>
  <r>
    <s v="ORD200423"/>
    <x v="423"/>
    <x v="4"/>
    <x v="3"/>
    <n v="685.2"/>
    <s v="195 Main St"/>
    <s v="Gift Card"/>
    <x v="5"/>
    <s v="Google"/>
    <n v="2740.8"/>
  </r>
  <r>
    <s v="ORD200424"/>
    <x v="424"/>
    <x v="3"/>
    <x v="0"/>
    <n v="22.94"/>
    <s v="339 Main St"/>
    <s v="Cash"/>
    <x v="8"/>
    <s v="Email"/>
    <n v="114.7"/>
  </r>
  <r>
    <s v="ORD200425"/>
    <x v="425"/>
    <x v="5"/>
    <x v="1"/>
    <n v="301.88"/>
    <s v="488 Main St"/>
    <s v="Gift Card"/>
    <x v="3"/>
    <s v="Email"/>
    <n v="603.76"/>
  </r>
  <r>
    <s v="ORD200426"/>
    <x v="426"/>
    <x v="0"/>
    <x v="0"/>
    <n v="57.45"/>
    <s v="315 Main St"/>
    <s v="Cash"/>
    <x v="8"/>
    <s v="Facebook"/>
    <n v="287.25"/>
  </r>
  <r>
    <s v="ORD200427"/>
    <x v="427"/>
    <x v="6"/>
    <x v="2"/>
    <n v="161.24"/>
    <s v="379 Main St"/>
    <s v="Credit Card"/>
    <x v="1"/>
    <s v="Instagram"/>
    <n v="161.24"/>
  </r>
  <r>
    <s v="ORD200428"/>
    <x v="428"/>
    <x v="3"/>
    <x v="3"/>
    <n v="262.58"/>
    <s v="895 Main St"/>
    <s v="Online"/>
    <x v="2"/>
    <s v="Email"/>
    <n v="1050.32"/>
  </r>
  <r>
    <s v="ORD200429"/>
    <x v="429"/>
    <x v="4"/>
    <x v="3"/>
    <n v="515.19000000000005"/>
    <s v="522 Main St"/>
    <s v="Credit Card"/>
    <x v="6"/>
    <s v="Facebook"/>
    <n v="2060.7600000000002"/>
  </r>
  <r>
    <s v="ORD200430"/>
    <x v="430"/>
    <x v="1"/>
    <x v="2"/>
    <n v="450.07"/>
    <s v="433 Main St"/>
    <s v="Gift Card"/>
    <x v="5"/>
    <s v="Google"/>
    <n v="450.07"/>
  </r>
  <r>
    <s v="ORD200431"/>
    <x v="431"/>
    <x v="4"/>
    <x v="2"/>
    <n v="52.54"/>
    <s v="651 Main St"/>
    <s v="Debit Card"/>
    <x v="5"/>
    <s v="Facebook"/>
    <n v="52.54"/>
  </r>
  <r>
    <s v="ORD200432"/>
    <x v="432"/>
    <x v="2"/>
    <x v="1"/>
    <n v="424.32"/>
    <s v="662 Main St"/>
    <s v="Credit Card"/>
    <x v="5"/>
    <s v="Referral"/>
    <n v="848.64"/>
  </r>
  <r>
    <s v="ORD200433"/>
    <x v="433"/>
    <x v="0"/>
    <x v="4"/>
    <n v="631.64"/>
    <s v="785 Main St"/>
    <s v="Credit Card"/>
    <x v="1"/>
    <s v="Facebook"/>
    <n v="1894.92"/>
  </r>
  <r>
    <s v="ORD200434"/>
    <x v="434"/>
    <x v="4"/>
    <x v="0"/>
    <n v="327.68"/>
    <s v="384 Main St"/>
    <s v="Credit Card"/>
    <x v="5"/>
    <s v="Facebook"/>
    <n v="1638.4"/>
  </r>
  <r>
    <s v="ORD200435"/>
    <x v="435"/>
    <x v="4"/>
    <x v="2"/>
    <n v="414.47"/>
    <s v="101 Main St"/>
    <s v="Debit Card"/>
    <x v="1"/>
    <s v="Instagram"/>
    <n v="414.47"/>
  </r>
  <r>
    <s v="ORD200436"/>
    <x v="436"/>
    <x v="5"/>
    <x v="3"/>
    <n v="221.33"/>
    <s v="651 Main St"/>
    <s v="Online"/>
    <x v="3"/>
    <s v="Google"/>
    <n v="885.32"/>
  </r>
  <r>
    <s v="ORD200437"/>
    <x v="437"/>
    <x v="1"/>
    <x v="2"/>
    <n v="512.39"/>
    <s v="955 Main St"/>
    <s v="Online"/>
    <x v="7"/>
    <s v="Instagram"/>
    <n v="512.39"/>
  </r>
  <r>
    <s v="ORD200438"/>
    <x v="438"/>
    <x v="2"/>
    <x v="4"/>
    <n v="459.34"/>
    <s v="436 Main St"/>
    <s v="Gift Card"/>
    <x v="1"/>
    <s v="Instagram"/>
    <n v="1378.02"/>
  </r>
  <r>
    <s v="ORD200439"/>
    <x v="439"/>
    <x v="2"/>
    <x v="2"/>
    <n v="146.32"/>
    <s v="321 Main St"/>
    <s v="Online"/>
    <x v="4"/>
    <s v="Facebook"/>
    <n v="146.32"/>
  </r>
  <r>
    <s v="ORD200440"/>
    <x v="440"/>
    <x v="6"/>
    <x v="3"/>
    <n v="83.6"/>
    <s v="978 Main St"/>
    <s v="Debit Card"/>
    <x v="4"/>
    <s v="Facebook"/>
    <n v="334.4"/>
  </r>
  <r>
    <s v="ORD200441"/>
    <x v="441"/>
    <x v="4"/>
    <x v="1"/>
    <n v="328.54"/>
    <s v="475 Main St"/>
    <s v="Gift Card"/>
    <x v="5"/>
    <s v="Email"/>
    <n v="657.08"/>
  </r>
  <r>
    <s v="ORD200442"/>
    <x v="442"/>
    <x v="3"/>
    <x v="0"/>
    <n v="314.94"/>
    <s v="661 Main St"/>
    <s v="Cash"/>
    <x v="2"/>
    <s v="Instagram"/>
    <n v="1574.7"/>
  </r>
  <r>
    <s v="ORD200443"/>
    <x v="443"/>
    <x v="3"/>
    <x v="1"/>
    <n v="69.64"/>
    <s v="813 Main St"/>
    <s v="Cash"/>
    <x v="5"/>
    <s v="Facebook"/>
    <n v="139.28"/>
  </r>
  <r>
    <s v="ORD200444"/>
    <x v="444"/>
    <x v="4"/>
    <x v="2"/>
    <n v="135.16999999999999"/>
    <s v="585 Main St"/>
    <s v="Online"/>
    <x v="5"/>
    <s v="Instagram"/>
    <n v="135.16999999999999"/>
  </r>
  <r>
    <s v="ORD200445"/>
    <x v="445"/>
    <x v="1"/>
    <x v="2"/>
    <n v="487.21"/>
    <s v="227 Main St"/>
    <s v="Cash"/>
    <x v="1"/>
    <s v="Referral"/>
    <n v="487.21"/>
  </r>
  <r>
    <s v="ORD200446"/>
    <x v="446"/>
    <x v="5"/>
    <x v="0"/>
    <n v="509.58"/>
    <s v="262 Main St"/>
    <s v="Online"/>
    <x v="5"/>
    <s v="Instagram"/>
    <n v="2547.9"/>
  </r>
  <r>
    <s v="ORD200447"/>
    <x v="447"/>
    <x v="4"/>
    <x v="1"/>
    <n v="416.81"/>
    <s v="356 Main St"/>
    <s v="Cash"/>
    <x v="7"/>
    <s v="Facebook"/>
    <n v="833.62"/>
  </r>
  <r>
    <s v="ORD200448"/>
    <x v="448"/>
    <x v="5"/>
    <x v="1"/>
    <n v="160"/>
    <s v="854 Main St"/>
    <s v="Cash"/>
    <x v="4"/>
    <s v="Instagram"/>
    <n v="320"/>
  </r>
  <r>
    <s v="ORD200449"/>
    <x v="449"/>
    <x v="2"/>
    <x v="4"/>
    <n v="253.05"/>
    <s v="286 Main St"/>
    <s v="Online"/>
    <x v="1"/>
    <s v="Instagram"/>
    <n v="759.15000000000009"/>
  </r>
  <r>
    <s v="ORD200450"/>
    <x v="450"/>
    <x v="0"/>
    <x v="0"/>
    <n v="615.1"/>
    <s v="160 Main St"/>
    <s v="Gift Card"/>
    <x v="8"/>
    <s v="Instagram"/>
    <n v="3075.5"/>
  </r>
  <r>
    <s v="ORD200451"/>
    <x v="451"/>
    <x v="0"/>
    <x v="2"/>
    <n v="183.18"/>
    <s v="647 Main St"/>
    <s v="Debit Card"/>
    <x v="5"/>
    <s v="Email"/>
    <n v="183.18"/>
  </r>
  <r>
    <s v="ORD200452"/>
    <x v="452"/>
    <x v="4"/>
    <x v="2"/>
    <n v="75.78"/>
    <s v="581 Main St"/>
    <s v="Cash"/>
    <x v="3"/>
    <s v="Google"/>
    <n v="75.78"/>
  </r>
  <r>
    <s v="ORD200453"/>
    <x v="453"/>
    <x v="2"/>
    <x v="2"/>
    <n v="675.57"/>
    <s v="492 Main St"/>
    <s v="Cash"/>
    <x v="9"/>
    <s v="Facebook"/>
    <n v="675.57"/>
  </r>
  <r>
    <s v="ORD200454"/>
    <x v="454"/>
    <x v="5"/>
    <x v="2"/>
    <n v="109.29"/>
    <s v="686 Main St"/>
    <s v="Debit Card"/>
    <x v="3"/>
    <s v="Google"/>
    <n v="109.29"/>
  </r>
  <r>
    <s v="ORD200455"/>
    <x v="455"/>
    <x v="1"/>
    <x v="2"/>
    <n v="639.83000000000004"/>
    <s v="874 Main St"/>
    <s v="Debit Card"/>
    <x v="7"/>
    <s v="Referral"/>
    <n v="639.83000000000004"/>
  </r>
  <r>
    <s v="ORD200456"/>
    <x v="456"/>
    <x v="6"/>
    <x v="0"/>
    <n v="62.81"/>
    <s v="259 Main St"/>
    <s v="Credit Card"/>
    <x v="6"/>
    <s v="Facebook"/>
    <n v="314.05"/>
  </r>
  <r>
    <s v="ORD200457"/>
    <x v="457"/>
    <x v="6"/>
    <x v="3"/>
    <n v="615.83000000000004"/>
    <s v="545 Main St"/>
    <s v="Online"/>
    <x v="4"/>
    <s v="Instagram"/>
    <n v="2463.3200000000002"/>
  </r>
  <r>
    <s v="ORD200458"/>
    <x v="458"/>
    <x v="0"/>
    <x v="3"/>
    <n v="510.58"/>
    <s v="196 Main St"/>
    <s v="Credit Card"/>
    <x v="0"/>
    <s v="Email"/>
    <n v="2042.32"/>
  </r>
  <r>
    <s v="ORD200459"/>
    <x v="459"/>
    <x v="6"/>
    <x v="2"/>
    <n v="334.39"/>
    <s v="433 Main St"/>
    <s v="Credit Card"/>
    <x v="7"/>
    <s v="Instagram"/>
    <n v="334.39"/>
  </r>
  <r>
    <s v="ORD200460"/>
    <x v="460"/>
    <x v="5"/>
    <x v="2"/>
    <n v="144.25"/>
    <s v="474 Main St"/>
    <s v="Cash"/>
    <x v="7"/>
    <s v="Referral"/>
    <n v="144.25"/>
  </r>
  <r>
    <s v="ORD200461"/>
    <x v="461"/>
    <x v="2"/>
    <x v="2"/>
    <n v="401.82"/>
    <s v="407 Main St"/>
    <s v="Credit Card"/>
    <x v="3"/>
    <s v="Google"/>
    <n v="401.82"/>
  </r>
  <r>
    <s v="ORD200462"/>
    <x v="462"/>
    <x v="1"/>
    <x v="2"/>
    <n v="252.68"/>
    <s v="731 Main St"/>
    <s v="Online"/>
    <x v="9"/>
    <s v="Referral"/>
    <n v="252.68"/>
  </r>
  <r>
    <s v="ORD200463"/>
    <x v="463"/>
    <x v="5"/>
    <x v="0"/>
    <n v="662.78"/>
    <s v="214 Main St"/>
    <s v="Debit Card"/>
    <x v="6"/>
    <s v="Instagram"/>
    <n v="3313.9"/>
  </r>
  <r>
    <s v="ORD200464"/>
    <x v="464"/>
    <x v="2"/>
    <x v="3"/>
    <n v="434.42"/>
    <s v="739 Main St"/>
    <s v="Online"/>
    <x v="5"/>
    <s v="Google"/>
    <n v="1737.68"/>
  </r>
  <r>
    <s v="ORD200465"/>
    <x v="465"/>
    <x v="4"/>
    <x v="0"/>
    <n v="513.49"/>
    <s v="391 Main St"/>
    <s v="Gift Card"/>
    <x v="2"/>
    <s v="Google"/>
    <n v="2567.4499999999998"/>
  </r>
  <r>
    <s v="ORD200466"/>
    <x v="466"/>
    <x v="1"/>
    <x v="2"/>
    <n v="432.47"/>
    <s v="895 Main St"/>
    <s v="Cash"/>
    <x v="4"/>
    <s v="Referral"/>
    <n v="432.47"/>
  </r>
  <r>
    <s v="ORD200467"/>
    <x v="467"/>
    <x v="6"/>
    <x v="2"/>
    <n v="45.94"/>
    <s v="572 Main St"/>
    <s v="Cash"/>
    <x v="7"/>
    <s v="Email"/>
    <n v="45.94"/>
  </r>
  <r>
    <s v="ORD200468"/>
    <x v="468"/>
    <x v="1"/>
    <x v="2"/>
    <n v="418.36"/>
    <s v="998 Main St"/>
    <s v="Credit Card"/>
    <x v="3"/>
    <s v="Email"/>
    <n v="418.36"/>
  </r>
  <r>
    <s v="ORD200469"/>
    <x v="469"/>
    <x v="3"/>
    <x v="0"/>
    <n v="676.98"/>
    <s v="893 Main St"/>
    <s v="Cash"/>
    <x v="3"/>
    <s v="Facebook"/>
    <n v="3384.9"/>
  </r>
  <r>
    <s v="ORD200470"/>
    <x v="470"/>
    <x v="2"/>
    <x v="3"/>
    <n v="263.62"/>
    <s v="672 Main St"/>
    <s v="Cash"/>
    <x v="3"/>
    <s v="Email"/>
    <n v="1054.48"/>
  </r>
  <r>
    <s v="ORD200471"/>
    <x v="471"/>
    <x v="6"/>
    <x v="0"/>
    <n v="551.27"/>
    <s v="395 Main St"/>
    <s v="Online"/>
    <x v="0"/>
    <s v="Referral"/>
    <n v="2756.35"/>
  </r>
  <r>
    <s v="ORD200472"/>
    <x v="472"/>
    <x v="3"/>
    <x v="4"/>
    <n v="508.12"/>
    <s v="796 Main St"/>
    <s v="Credit Card"/>
    <x v="2"/>
    <s v="Referral"/>
    <n v="1524.36"/>
  </r>
  <r>
    <s v="ORD200473"/>
    <x v="473"/>
    <x v="3"/>
    <x v="1"/>
    <n v="14.93"/>
    <s v="449 Main St"/>
    <s v="Online"/>
    <x v="4"/>
    <s v="Facebook"/>
    <n v="29.86"/>
  </r>
  <r>
    <s v="ORD200474"/>
    <x v="474"/>
    <x v="4"/>
    <x v="4"/>
    <n v="229.34"/>
    <s v="398 Main St"/>
    <s v="Credit Card"/>
    <x v="5"/>
    <s v="Referral"/>
    <n v="688.02"/>
  </r>
  <r>
    <s v="ORD200475"/>
    <x v="475"/>
    <x v="2"/>
    <x v="1"/>
    <n v="438.62"/>
    <s v="363 Main St"/>
    <s v="Cash"/>
    <x v="1"/>
    <s v="Facebook"/>
    <n v="877.24"/>
  </r>
  <r>
    <s v="ORD200476"/>
    <x v="476"/>
    <x v="1"/>
    <x v="1"/>
    <n v="513.59"/>
    <s v="867 Main St"/>
    <s v="Online"/>
    <x v="4"/>
    <s v="Referral"/>
    <n v="1027.18"/>
  </r>
  <r>
    <s v="ORD200477"/>
    <x v="477"/>
    <x v="1"/>
    <x v="1"/>
    <n v="253.74"/>
    <s v="481 Main St"/>
    <s v="Online"/>
    <x v="3"/>
    <s v="Google"/>
    <n v="507.48"/>
  </r>
  <r>
    <s v="ORD200478"/>
    <x v="478"/>
    <x v="2"/>
    <x v="4"/>
    <n v="62.77"/>
    <s v="914 Main St"/>
    <s v="Gift Card"/>
    <x v="5"/>
    <s v="Referral"/>
    <n v="188.31"/>
  </r>
  <r>
    <s v="ORD200479"/>
    <x v="479"/>
    <x v="0"/>
    <x v="3"/>
    <n v="25.29"/>
    <s v="943 Main St"/>
    <s v="Credit Card"/>
    <x v="2"/>
    <s v="Google"/>
    <n v="101.16"/>
  </r>
  <r>
    <s v="ORD200480"/>
    <x v="480"/>
    <x v="3"/>
    <x v="2"/>
    <n v="335.1"/>
    <s v="126 Main St"/>
    <s v="Debit Card"/>
    <x v="5"/>
    <s v="Referral"/>
    <n v="335.1"/>
  </r>
  <r>
    <s v="ORD200481"/>
    <x v="481"/>
    <x v="5"/>
    <x v="3"/>
    <n v="484.85"/>
    <s v="317 Main St"/>
    <s v="Debit Card"/>
    <x v="3"/>
    <s v="Referral"/>
    <n v="1939.4"/>
  </r>
  <r>
    <s v="ORD200482"/>
    <x v="482"/>
    <x v="0"/>
    <x v="4"/>
    <n v="381.41"/>
    <s v="989 Main St"/>
    <s v="Online"/>
    <x v="5"/>
    <s v="Instagram"/>
    <n v="1144.23"/>
  </r>
  <r>
    <s v="ORD200483"/>
    <x v="483"/>
    <x v="1"/>
    <x v="0"/>
    <n v="347.92"/>
    <s v="982 Main St"/>
    <s v="Cash"/>
    <x v="5"/>
    <s v="Google"/>
    <n v="1739.6"/>
  </r>
  <r>
    <s v="ORD200484"/>
    <x v="484"/>
    <x v="3"/>
    <x v="3"/>
    <n v="15.01"/>
    <s v="767 Main St"/>
    <s v="Cash"/>
    <x v="5"/>
    <s v="Facebook"/>
    <n v="60.04"/>
  </r>
  <r>
    <s v="ORD200485"/>
    <x v="485"/>
    <x v="3"/>
    <x v="4"/>
    <n v="404.79"/>
    <s v="764 Main St"/>
    <s v="Cash"/>
    <x v="5"/>
    <s v="Instagram"/>
    <n v="1214.3699999999999"/>
  </r>
  <r>
    <s v="ORD200486"/>
    <x v="486"/>
    <x v="4"/>
    <x v="3"/>
    <n v="611.26"/>
    <s v="558 Main St"/>
    <s v="Cash"/>
    <x v="3"/>
    <s v="Referral"/>
    <n v="2445.04"/>
  </r>
  <r>
    <s v="ORD200487"/>
    <x v="487"/>
    <x v="4"/>
    <x v="4"/>
    <n v="346.52"/>
    <s v="211 Main St"/>
    <s v="Credit Card"/>
    <x v="1"/>
    <s v="Google"/>
    <n v="1039.56"/>
  </r>
  <r>
    <s v="ORD200488"/>
    <x v="488"/>
    <x v="3"/>
    <x v="2"/>
    <n v="36.65"/>
    <s v="556 Main St"/>
    <s v="Online"/>
    <x v="9"/>
    <s v="Email"/>
    <n v="36.65"/>
  </r>
  <r>
    <s v="ORD200489"/>
    <x v="489"/>
    <x v="2"/>
    <x v="4"/>
    <n v="149.34"/>
    <s v="589 Main St"/>
    <s v="Gift Card"/>
    <x v="0"/>
    <s v="Email"/>
    <n v="448.02"/>
  </r>
  <r>
    <s v="ORD200490"/>
    <x v="490"/>
    <x v="3"/>
    <x v="0"/>
    <n v="467.81"/>
    <s v="539 Main St"/>
    <s v="Online"/>
    <x v="8"/>
    <s v="Facebook"/>
    <n v="2339.0500000000002"/>
  </r>
  <r>
    <s v="ORD200491"/>
    <x v="491"/>
    <x v="1"/>
    <x v="0"/>
    <n v="420.7"/>
    <s v="481 Main St"/>
    <s v="Cash"/>
    <x v="3"/>
    <s v="Facebook"/>
    <n v="2103.5"/>
  </r>
  <r>
    <s v="ORD200492"/>
    <x v="492"/>
    <x v="5"/>
    <x v="0"/>
    <n v="606.52"/>
    <s v="103 Main St"/>
    <s v="Debit Card"/>
    <x v="5"/>
    <s v="Instagram"/>
    <n v="3032.6"/>
  </r>
  <r>
    <s v="ORD200493"/>
    <x v="493"/>
    <x v="1"/>
    <x v="2"/>
    <n v="420.26"/>
    <s v="372 Main St"/>
    <s v="Credit Card"/>
    <x v="4"/>
    <s v="Facebook"/>
    <n v="420.26"/>
  </r>
  <r>
    <s v="ORD200494"/>
    <x v="494"/>
    <x v="5"/>
    <x v="4"/>
    <n v="505.79"/>
    <s v="459 Main St"/>
    <s v="Debit Card"/>
    <x v="1"/>
    <s v="Referral"/>
    <n v="1517.37"/>
  </r>
  <r>
    <s v="ORD200495"/>
    <x v="495"/>
    <x v="1"/>
    <x v="3"/>
    <n v="493.73"/>
    <s v="947 Main St"/>
    <s v="Debit Card"/>
    <x v="5"/>
    <s v="Facebook"/>
    <n v="1974.92"/>
  </r>
  <r>
    <s v="ORD200496"/>
    <x v="496"/>
    <x v="4"/>
    <x v="4"/>
    <n v="201.21"/>
    <s v="249 Main St"/>
    <s v="Online"/>
    <x v="1"/>
    <s v="Google"/>
    <n v="603.63"/>
  </r>
  <r>
    <s v="ORD200497"/>
    <x v="497"/>
    <x v="4"/>
    <x v="4"/>
    <n v="112.29"/>
    <s v="454 Main St"/>
    <s v="Gift Card"/>
    <x v="5"/>
    <s v="Google"/>
    <n v="336.87"/>
  </r>
  <r>
    <s v="ORD200498"/>
    <x v="498"/>
    <x v="2"/>
    <x v="3"/>
    <n v="132.56"/>
    <s v="306 Main St"/>
    <s v="Cash"/>
    <x v="2"/>
    <s v="Instagram"/>
    <n v="530.24"/>
  </r>
  <r>
    <s v="ORD200499"/>
    <x v="499"/>
    <x v="4"/>
    <x v="4"/>
    <n v="539.46"/>
    <s v="520 Main St"/>
    <s v="Credit Card"/>
    <x v="4"/>
    <s v="Facebook"/>
    <n v="1618.38"/>
  </r>
  <r>
    <s v="ORD200500"/>
    <x v="500"/>
    <x v="5"/>
    <x v="0"/>
    <n v="508.59"/>
    <s v="169 Main St"/>
    <s v="Cash"/>
    <x v="2"/>
    <s v="Facebook"/>
    <n v="2542.9499999999998"/>
  </r>
  <r>
    <s v="ORD200501"/>
    <x v="501"/>
    <x v="6"/>
    <x v="3"/>
    <n v="203.46"/>
    <s v="226 Main St"/>
    <s v="Credit Card"/>
    <x v="0"/>
    <s v="Referral"/>
    <n v="813.84"/>
  </r>
  <r>
    <s v="ORD200502"/>
    <x v="502"/>
    <x v="0"/>
    <x v="4"/>
    <n v="565.25"/>
    <s v="745 Main St"/>
    <s v="Debit Card"/>
    <x v="0"/>
    <s v="Email"/>
    <n v="1695.75"/>
  </r>
  <r>
    <s v="ORD200503"/>
    <x v="503"/>
    <x v="2"/>
    <x v="4"/>
    <n v="136.84"/>
    <s v="498 Main St"/>
    <s v="Online"/>
    <x v="4"/>
    <s v="Facebook"/>
    <n v="410.52"/>
  </r>
  <r>
    <s v="ORD200504"/>
    <x v="504"/>
    <x v="0"/>
    <x v="1"/>
    <n v="464.5"/>
    <s v="805 Main St"/>
    <s v="Online"/>
    <x v="7"/>
    <s v="Instagram"/>
    <n v="929"/>
  </r>
  <r>
    <s v="ORD200505"/>
    <x v="505"/>
    <x v="4"/>
    <x v="1"/>
    <n v="434.97"/>
    <s v="558 Main St"/>
    <s v="Online"/>
    <x v="0"/>
    <s v="Email"/>
    <n v="869.94"/>
  </r>
  <r>
    <s v="ORD200506"/>
    <x v="506"/>
    <x v="0"/>
    <x v="1"/>
    <n v="43.67"/>
    <s v="696 Main St"/>
    <s v="Cash"/>
    <x v="4"/>
    <s v="Instagram"/>
    <n v="87.34"/>
  </r>
  <r>
    <s v="ORD200507"/>
    <x v="507"/>
    <x v="1"/>
    <x v="2"/>
    <n v="171.59"/>
    <s v="546 Main St"/>
    <s v="Credit Card"/>
    <x v="3"/>
    <s v="Email"/>
    <n v="171.59"/>
  </r>
  <r>
    <s v="ORD200508"/>
    <x v="508"/>
    <x v="1"/>
    <x v="2"/>
    <n v="558.27"/>
    <s v="976 Main St"/>
    <s v="Online"/>
    <x v="9"/>
    <s v="Referral"/>
    <n v="558.27"/>
  </r>
  <r>
    <s v="ORD200509"/>
    <x v="509"/>
    <x v="5"/>
    <x v="1"/>
    <n v="425.03"/>
    <s v="560 Main St"/>
    <s v="Cash"/>
    <x v="7"/>
    <s v="Google"/>
    <n v="850.06"/>
  </r>
  <r>
    <s v="ORD200510"/>
    <x v="510"/>
    <x v="4"/>
    <x v="2"/>
    <n v="376.76"/>
    <s v="389 Main St"/>
    <s v="Debit Card"/>
    <x v="3"/>
    <s v="Email"/>
    <n v="376.76"/>
  </r>
  <r>
    <s v="ORD200511"/>
    <x v="511"/>
    <x v="0"/>
    <x v="0"/>
    <n v="575.24"/>
    <s v="267 Main St"/>
    <s v="Cash"/>
    <x v="0"/>
    <s v="Email"/>
    <n v="2876.2"/>
  </r>
  <r>
    <s v="ORD200512"/>
    <x v="512"/>
    <x v="6"/>
    <x v="4"/>
    <n v="568.02"/>
    <s v="856 Main St"/>
    <s v="Online"/>
    <x v="1"/>
    <s v="Instagram"/>
    <n v="1704.06"/>
  </r>
  <r>
    <s v="ORD200513"/>
    <x v="513"/>
    <x v="2"/>
    <x v="4"/>
    <n v="94.88"/>
    <s v="533 Main St"/>
    <s v="Gift Card"/>
    <x v="2"/>
    <s v="Referral"/>
    <n v="284.64"/>
  </r>
  <r>
    <s v="ORD200514"/>
    <x v="514"/>
    <x v="4"/>
    <x v="4"/>
    <n v="304.14999999999998"/>
    <s v="492 Main St"/>
    <s v="Gift Card"/>
    <x v="1"/>
    <s v="Instagram"/>
    <n v="912.44999999999993"/>
  </r>
  <r>
    <s v="ORD200515"/>
    <x v="515"/>
    <x v="1"/>
    <x v="4"/>
    <n v="553.52"/>
    <s v="160 Main St"/>
    <s v="Gift Card"/>
    <x v="4"/>
    <s v="Facebook"/>
    <n v="1660.56"/>
  </r>
  <r>
    <s v="ORD200516"/>
    <x v="516"/>
    <x v="0"/>
    <x v="4"/>
    <n v="166.99"/>
    <s v="208 Main St"/>
    <s v="Cash"/>
    <x v="2"/>
    <s v="Facebook"/>
    <n v="500.97"/>
  </r>
  <r>
    <s v="ORD200517"/>
    <x v="517"/>
    <x v="2"/>
    <x v="3"/>
    <n v="198.35"/>
    <s v="943 Main St"/>
    <s v="Cash"/>
    <x v="0"/>
    <s v="Google"/>
    <n v="793.4"/>
  </r>
  <r>
    <s v="ORD200518"/>
    <x v="518"/>
    <x v="4"/>
    <x v="3"/>
    <n v="403.58"/>
    <s v="319 Main St"/>
    <s v="Online"/>
    <x v="6"/>
    <s v="Referral"/>
    <n v="1614.32"/>
  </r>
  <r>
    <s v="ORD200519"/>
    <x v="519"/>
    <x v="5"/>
    <x v="3"/>
    <n v="464.29"/>
    <s v="941 Main St"/>
    <s v="Debit Card"/>
    <x v="3"/>
    <s v="Email"/>
    <n v="1857.16"/>
  </r>
  <r>
    <s v="ORD200520"/>
    <x v="520"/>
    <x v="0"/>
    <x v="4"/>
    <n v="635.98"/>
    <s v="959 Main St"/>
    <s v="Cash"/>
    <x v="3"/>
    <s v="Referral"/>
    <n v="1907.94"/>
  </r>
  <r>
    <s v="ORD200521"/>
    <x v="521"/>
    <x v="1"/>
    <x v="2"/>
    <n v="528.05999999999995"/>
    <s v="991 Main St"/>
    <s v="Credit Card"/>
    <x v="7"/>
    <s v="Facebook"/>
    <n v="528.05999999999995"/>
  </r>
  <r>
    <s v="ORD200522"/>
    <x v="522"/>
    <x v="3"/>
    <x v="2"/>
    <n v="515.32000000000005"/>
    <s v="740 Main St"/>
    <s v="Gift Card"/>
    <x v="9"/>
    <s v="Email"/>
    <n v="515.32000000000005"/>
  </r>
  <r>
    <s v="ORD200523"/>
    <x v="523"/>
    <x v="6"/>
    <x v="3"/>
    <n v="657.79"/>
    <s v="652 Main St"/>
    <s v="Credit Card"/>
    <x v="5"/>
    <s v="Google"/>
    <n v="2631.16"/>
  </r>
  <r>
    <s v="ORD200524"/>
    <x v="524"/>
    <x v="1"/>
    <x v="2"/>
    <n v="153"/>
    <s v="103 Main St"/>
    <s v="Credit Card"/>
    <x v="4"/>
    <s v="Referral"/>
    <n v="153"/>
  </r>
  <r>
    <s v="ORD200525"/>
    <x v="525"/>
    <x v="0"/>
    <x v="2"/>
    <n v="668.48"/>
    <s v="160 Main St"/>
    <s v="Debit Card"/>
    <x v="9"/>
    <s v="Email"/>
    <n v="668.48"/>
  </r>
  <r>
    <s v="ORD200526"/>
    <x v="526"/>
    <x v="6"/>
    <x v="1"/>
    <n v="46.5"/>
    <s v="837 Main St"/>
    <s v="Cash"/>
    <x v="0"/>
    <s v="Google"/>
    <n v="93"/>
  </r>
  <r>
    <s v="ORD200527"/>
    <x v="527"/>
    <x v="3"/>
    <x v="0"/>
    <n v="653.47"/>
    <s v="967 Main St"/>
    <s v="Credit Card"/>
    <x v="8"/>
    <s v="Referral"/>
    <n v="3267.35"/>
  </r>
  <r>
    <s v="ORD200528"/>
    <x v="528"/>
    <x v="3"/>
    <x v="2"/>
    <n v="628.89"/>
    <s v="686 Main St"/>
    <s v="Credit Card"/>
    <x v="7"/>
    <s v="Referral"/>
    <n v="628.89"/>
  </r>
  <r>
    <s v="ORD200529"/>
    <x v="529"/>
    <x v="2"/>
    <x v="1"/>
    <n v="675.1"/>
    <s v="938 Main St"/>
    <s v="Cash"/>
    <x v="4"/>
    <s v="Google"/>
    <n v="1350.2"/>
  </r>
  <r>
    <s v="ORD200530"/>
    <x v="530"/>
    <x v="3"/>
    <x v="3"/>
    <n v="89.41"/>
    <s v="613 Main St"/>
    <s v="Online"/>
    <x v="6"/>
    <s v="Google"/>
    <n v="357.64"/>
  </r>
  <r>
    <s v="ORD200531"/>
    <x v="531"/>
    <x v="6"/>
    <x v="0"/>
    <n v="320.01"/>
    <s v="722 Main St"/>
    <s v="Gift Card"/>
    <x v="5"/>
    <s v="Referral"/>
    <n v="1600.05"/>
  </r>
  <r>
    <s v="ORD200532"/>
    <x v="532"/>
    <x v="5"/>
    <x v="1"/>
    <n v="41"/>
    <s v="369 Main St"/>
    <s v="Online"/>
    <x v="0"/>
    <s v="Email"/>
    <n v="82"/>
  </r>
  <r>
    <s v="ORD200533"/>
    <x v="533"/>
    <x v="6"/>
    <x v="2"/>
    <n v="565.85"/>
    <s v="715 Main St"/>
    <s v="Gift Card"/>
    <x v="9"/>
    <s v="Facebook"/>
    <n v="565.85"/>
  </r>
  <r>
    <s v="ORD200534"/>
    <x v="534"/>
    <x v="3"/>
    <x v="4"/>
    <n v="648.59"/>
    <s v="906 Main St"/>
    <s v="Debit Card"/>
    <x v="4"/>
    <s v="Email"/>
    <n v="1945.77"/>
  </r>
  <r>
    <s v="ORD200535"/>
    <x v="535"/>
    <x v="0"/>
    <x v="4"/>
    <n v="68.12"/>
    <s v="332 Main St"/>
    <s v="Online"/>
    <x v="1"/>
    <s v="Email"/>
    <n v="204.36"/>
  </r>
  <r>
    <s v="ORD200536"/>
    <x v="536"/>
    <x v="3"/>
    <x v="2"/>
    <n v="616.1"/>
    <s v="124 Main St"/>
    <s v="Cash"/>
    <x v="5"/>
    <s v="Email"/>
    <n v="616.1"/>
  </r>
  <r>
    <s v="ORD200537"/>
    <x v="537"/>
    <x v="2"/>
    <x v="4"/>
    <n v="247.47"/>
    <s v="385 Main St"/>
    <s v="Online"/>
    <x v="4"/>
    <s v="Facebook"/>
    <n v="742.41"/>
  </r>
  <r>
    <s v="ORD200538"/>
    <x v="538"/>
    <x v="1"/>
    <x v="4"/>
    <n v="490.74"/>
    <s v="100 Main St"/>
    <s v="Cash"/>
    <x v="1"/>
    <s v="Email"/>
    <n v="1472.22"/>
  </r>
  <r>
    <s v="ORD200539"/>
    <x v="539"/>
    <x v="6"/>
    <x v="4"/>
    <n v="531.72"/>
    <s v="473 Main St"/>
    <s v="Gift Card"/>
    <x v="0"/>
    <s v="Google"/>
    <n v="1595.16"/>
  </r>
  <r>
    <s v="ORD200540"/>
    <x v="540"/>
    <x v="5"/>
    <x v="0"/>
    <n v="648.65"/>
    <s v="852 Main St"/>
    <s v="Online"/>
    <x v="0"/>
    <s v="Referral"/>
    <n v="3243.25"/>
  </r>
  <r>
    <s v="ORD200541"/>
    <x v="541"/>
    <x v="4"/>
    <x v="0"/>
    <n v="456.06"/>
    <s v="879 Main St"/>
    <s v="Cash"/>
    <x v="8"/>
    <s v="Instagram"/>
    <n v="2280.3000000000002"/>
  </r>
  <r>
    <s v="ORD200542"/>
    <x v="542"/>
    <x v="2"/>
    <x v="2"/>
    <n v="17.98"/>
    <s v="934 Main St"/>
    <s v="Cash"/>
    <x v="5"/>
    <s v="Email"/>
    <n v="17.98"/>
  </r>
  <r>
    <s v="ORD200543"/>
    <x v="543"/>
    <x v="6"/>
    <x v="0"/>
    <n v="269.86"/>
    <s v="354 Main St"/>
    <s v="Cash"/>
    <x v="5"/>
    <s v="Facebook"/>
    <n v="1349.3"/>
  </r>
  <r>
    <s v="ORD200544"/>
    <x v="544"/>
    <x v="4"/>
    <x v="0"/>
    <n v="31.96"/>
    <s v="373 Main St"/>
    <s v="Credit Card"/>
    <x v="3"/>
    <s v="Referral"/>
    <n v="159.80000000000001"/>
  </r>
  <r>
    <s v="ORD200545"/>
    <x v="545"/>
    <x v="0"/>
    <x v="1"/>
    <n v="98.47"/>
    <s v="964 Main St"/>
    <s v="Cash"/>
    <x v="1"/>
    <s v="Instagram"/>
    <n v="196.94"/>
  </r>
  <r>
    <s v="ORD200546"/>
    <x v="546"/>
    <x v="0"/>
    <x v="2"/>
    <n v="158.68"/>
    <s v="928 Main St"/>
    <s v="Credit Card"/>
    <x v="5"/>
    <s v="Instagram"/>
    <n v="158.68"/>
  </r>
  <r>
    <s v="ORD200547"/>
    <x v="547"/>
    <x v="1"/>
    <x v="2"/>
    <n v="613.98"/>
    <s v="411 Main St"/>
    <s v="Online"/>
    <x v="4"/>
    <s v="Facebook"/>
    <n v="613.98"/>
  </r>
  <r>
    <s v="ORD200548"/>
    <x v="548"/>
    <x v="4"/>
    <x v="4"/>
    <n v="426.12"/>
    <s v="922 Main St"/>
    <s v="Online"/>
    <x v="3"/>
    <s v="Instagram"/>
    <n v="1278.3599999999999"/>
  </r>
  <r>
    <s v="ORD200549"/>
    <x v="549"/>
    <x v="0"/>
    <x v="3"/>
    <n v="629.88"/>
    <s v="550 Main St"/>
    <s v="Debit Card"/>
    <x v="2"/>
    <s v="Instagram"/>
    <n v="2519.52"/>
  </r>
  <r>
    <s v="ORD200550"/>
    <x v="550"/>
    <x v="5"/>
    <x v="3"/>
    <n v="228.91"/>
    <s v="573 Main St"/>
    <s v="Cash"/>
    <x v="4"/>
    <s v="Google"/>
    <n v="915.64"/>
  </r>
  <r>
    <s v="ORD200551"/>
    <x v="551"/>
    <x v="5"/>
    <x v="2"/>
    <n v="120.98"/>
    <s v="353 Main St"/>
    <s v="Debit Card"/>
    <x v="5"/>
    <s v="Email"/>
    <n v="120.98"/>
  </r>
  <r>
    <s v="ORD200552"/>
    <x v="552"/>
    <x v="3"/>
    <x v="3"/>
    <n v="425.18"/>
    <s v="560 Main St"/>
    <s v="Online"/>
    <x v="2"/>
    <s v="Facebook"/>
    <n v="1700.72"/>
  </r>
  <r>
    <s v="ORD200553"/>
    <x v="553"/>
    <x v="1"/>
    <x v="1"/>
    <n v="333.83"/>
    <s v="828 Main St"/>
    <s v="Gift Card"/>
    <x v="4"/>
    <s v="Referral"/>
    <n v="667.66"/>
  </r>
  <r>
    <s v="ORD200554"/>
    <x v="554"/>
    <x v="5"/>
    <x v="1"/>
    <n v="492.9"/>
    <s v="610 Main St"/>
    <s v="Cash"/>
    <x v="3"/>
    <s v="Instagram"/>
    <n v="985.8"/>
  </r>
  <r>
    <s v="ORD200555"/>
    <x v="555"/>
    <x v="2"/>
    <x v="2"/>
    <n v="92.04"/>
    <s v="333 Main St"/>
    <s v="Cash"/>
    <x v="7"/>
    <s v="Facebook"/>
    <n v="92.04"/>
  </r>
  <r>
    <s v="ORD200556"/>
    <x v="556"/>
    <x v="5"/>
    <x v="2"/>
    <n v="654.27"/>
    <s v="932 Main St"/>
    <s v="Gift Card"/>
    <x v="7"/>
    <s v="Facebook"/>
    <n v="654.27"/>
  </r>
  <r>
    <s v="ORD200557"/>
    <x v="557"/>
    <x v="2"/>
    <x v="2"/>
    <n v="56.2"/>
    <s v="130 Main St"/>
    <s v="Debit Card"/>
    <x v="9"/>
    <s v="Facebook"/>
    <n v="56.2"/>
  </r>
  <r>
    <s v="ORD200558"/>
    <x v="558"/>
    <x v="1"/>
    <x v="3"/>
    <n v="628.12"/>
    <s v="485 Main St"/>
    <s v="Online"/>
    <x v="5"/>
    <s v="Instagram"/>
    <n v="2512.48"/>
  </r>
  <r>
    <s v="ORD200559"/>
    <x v="559"/>
    <x v="6"/>
    <x v="4"/>
    <n v="157.4"/>
    <s v="454 Main St"/>
    <s v="Debit Card"/>
    <x v="0"/>
    <s v="Email"/>
    <n v="472.2"/>
  </r>
  <r>
    <s v="ORD200560"/>
    <x v="560"/>
    <x v="0"/>
    <x v="3"/>
    <n v="588.85"/>
    <s v="524 Main St"/>
    <s v="Gift Card"/>
    <x v="0"/>
    <s v="Email"/>
    <n v="2355.4"/>
  </r>
  <r>
    <s v="ORD200561"/>
    <x v="561"/>
    <x v="4"/>
    <x v="1"/>
    <n v="494.78"/>
    <s v="198 Main St"/>
    <s v="Online"/>
    <x v="7"/>
    <s v="Google"/>
    <n v="989.56"/>
  </r>
  <r>
    <s v="ORD200562"/>
    <x v="562"/>
    <x v="5"/>
    <x v="4"/>
    <n v="663.93"/>
    <s v="922 Main St"/>
    <s v="Gift Card"/>
    <x v="5"/>
    <s v="Email"/>
    <n v="1991.79"/>
  </r>
  <r>
    <s v="ORD200563"/>
    <x v="563"/>
    <x v="5"/>
    <x v="2"/>
    <n v="132.68"/>
    <s v="844 Main St"/>
    <s v="Debit Card"/>
    <x v="9"/>
    <s v="Referral"/>
    <n v="132.68"/>
  </r>
  <r>
    <s v="ORD200564"/>
    <x v="564"/>
    <x v="6"/>
    <x v="0"/>
    <n v="364.28"/>
    <s v="734 Main St"/>
    <s v="Credit Card"/>
    <x v="3"/>
    <s v="Google"/>
    <n v="1821.4"/>
  </r>
  <r>
    <s v="ORD200565"/>
    <x v="565"/>
    <x v="2"/>
    <x v="0"/>
    <n v="307.98"/>
    <s v="214 Main St"/>
    <s v="Online"/>
    <x v="8"/>
    <s v="Facebook"/>
    <n v="1539.9"/>
  </r>
  <r>
    <s v="ORD200566"/>
    <x v="566"/>
    <x v="1"/>
    <x v="3"/>
    <n v="162.71"/>
    <s v="167 Main St"/>
    <s v="Cash"/>
    <x v="0"/>
    <s v="Email"/>
    <n v="650.84"/>
  </r>
  <r>
    <s v="ORD200567"/>
    <x v="567"/>
    <x v="3"/>
    <x v="0"/>
    <n v="492.94"/>
    <s v="153 Main St"/>
    <s v="Cash"/>
    <x v="8"/>
    <s v="Email"/>
    <n v="2464.6999999999998"/>
  </r>
  <r>
    <s v="ORD200568"/>
    <x v="568"/>
    <x v="5"/>
    <x v="1"/>
    <n v="343.99"/>
    <s v="312 Main St"/>
    <s v="Online"/>
    <x v="4"/>
    <s v="Google"/>
    <n v="687.98"/>
  </r>
  <r>
    <s v="ORD200569"/>
    <x v="569"/>
    <x v="6"/>
    <x v="0"/>
    <n v="250.68"/>
    <s v="672 Main St"/>
    <s v="Cash"/>
    <x v="2"/>
    <s v="Instagram"/>
    <n v="1253.4000000000001"/>
  </r>
  <r>
    <s v="ORD200570"/>
    <x v="570"/>
    <x v="6"/>
    <x v="1"/>
    <n v="362.14"/>
    <s v="122 Main St"/>
    <s v="Debit Card"/>
    <x v="7"/>
    <s v="Instagram"/>
    <n v="724.28"/>
  </r>
  <r>
    <s v="ORD200571"/>
    <x v="571"/>
    <x v="2"/>
    <x v="2"/>
    <n v="214.08"/>
    <s v="867 Main St"/>
    <s v="Gift Card"/>
    <x v="7"/>
    <s v="Google"/>
    <n v="214.08"/>
  </r>
  <r>
    <s v="ORD200572"/>
    <x v="572"/>
    <x v="4"/>
    <x v="2"/>
    <n v="70.319999999999993"/>
    <s v="341 Main St"/>
    <s v="Cash"/>
    <x v="4"/>
    <s v="Facebook"/>
    <n v="70.319999999999993"/>
  </r>
  <r>
    <s v="ORD200573"/>
    <x v="573"/>
    <x v="3"/>
    <x v="0"/>
    <n v="421.42"/>
    <s v="522 Main St"/>
    <s v="Debit Card"/>
    <x v="0"/>
    <s v="Instagram"/>
    <n v="2107.1"/>
  </r>
  <r>
    <s v="ORD200574"/>
    <x v="574"/>
    <x v="3"/>
    <x v="0"/>
    <n v="384.69"/>
    <s v="275 Main St"/>
    <s v="Credit Card"/>
    <x v="5"/>
    <s v="Email"/>
    <n v="1923.45"/>
  </r>
  <r>
    <s v="ORD200575"/>
    <x v="575"/>
    <x v="3"/>
    <x v="0"/>
    <n v="448.15"/>
    <s v="528 Main St"/>
    <s v="Gift Card"/>
    <x v="0"/>
    <s v="Google"/>
    <n v="2240.75"/>
  </r>
  <r>
    <s v="ORD200576"/>
    <x v="576"/>
    <x v="5"/>
    <x v="0"/>
    <n v="79.08"/>
    <s v="747 Main St"/>
    <s v="Cash"/>
    <x v="2"/>
    <s v="Facebook"/>
    <n v="395.4"/>
  </r>
  <r>
    <s v="ORD200577"/>
    <x v="577"/>
    <x v="2"/>
    <x v="3"/>
    <n v="185.41"/>
    <s v="967 Main St"/>
    <s v="Online"/>
    <x v="6"/>
    <s v="Google"/>
    <n v="741.64"/>
  </r>
  <r>
    <s v="ORD200578"/>
    <x v="578"/>
    <x v="0"/>
    <x v="0"/>
    <n v="566.07000000000005"/>
    <s v="587 Main St"/>
    <s v="Credit Card"/>
    <x v="5"/>
    <s v="Instagram"/>
    <n v="2830.35"/>
  </r>
  <r>
    <s v="ORD200579"/>
    <x v="579"/>
    <x v="2"/>
    <x v="1"/>
    <n v="187.88"/>
    <s v="413 Main St"/>
    <s v="Online"/>
    <x v="4"/>
    <s v="Facebook"/>
    <n v="375.76"/>
  </r>
  <r>
    <s v="ORD200580"/>
    <x v="580"/>
    <x v="0"/>
    <x v="1"/>
    <n v="255.99"/>
    <s v="340 Main St"/>
    <s v="Credit Card"/>
    <x v="4"/>
    <s v="Instagram"/>
    <n v="511.98"/>
  </r>
  <r>
    <s v="ORD200581"/>
    <x v="581"/>
    <x v="5"/>
    <x v="2"/>
    <n v="627.34"/>
    <s v="942 Main St"/>
    <s v="Online"/>
    <x v="9"/>
    <s v="Referral"/>
    <n v="627.34"/>
  </r>
  <r>
    <s v="ORD200582"/>
    <x v="582"/>
    <x v="2"/>
    <x v="4"/>
    <n v="474.14"/>
    <s v="558 Main St"/>
    <s v="Gift Card"/>
    <x v="2"/>
    <s v="Google"/>
    <n v="1422.42"/>
  </r>
  <r>
    <s v="ORD200583"/>
    <x v="583"/>
    <x v="3"/>
    <x v="4"/>
    <n v="154.37"/>
    <s v="996 Main St"/>
    <s v="Gift Card"/>
    <x v="4"/>
    <s v="Instagram"/>
    <n v="463.11"/>
  </r>
  <r>
    <s v="ORD200584"/>
    <x v="584"/>
    <x v="3"/>
    <x v="3"/>
    <n v="145.05000000000001"/>
    <s v="626 Main St"/>
    <s v="Online"/>
    <x v="5"/>
    <s v="Google"/>
    <n v="580.20000000000005"/>
  </r>
  <r>
    <s v="ORD200585"/>
    <x v="585"/>
    <x v="2"/>
    <x v="3"/>
    <n v="67.08"/>
    <s v="907 Main St"/>
    <s v="Cash"/>
    <x v="2"/>
    <s v="Google"/>
    <n v="268.32"/>
  </r>
  <r>
    <s v="ORD200586"/>
    <x v="586"/>
    <x v="0"/>
    <x v="2"/>
    <n v="522.08000000000004"/>
    <s v="905 Main St"/>
    <s v="Gift Card"/>
    <x v="3"/>
    <s v="Referral"/>
    <n v="522.08000000000004"/>
  </r>
  <r>
    <s v="ORD200587"/>
    <x v="587"/>
    <x v="0"/>
    <x v="0"/>
    <n v="514.6"/>
    <s v="347 Main St"/>
    <s v="Gift Card"/>
    <x v="8"/>
    <s v="Instagram"/>
    <n v="2573"/>
  </r>
  <r>
    <s v="ORD200588"/>
    <x v="588"/>
    <x v="0"/>
    <x v="3"/>
    <n v="577.82000000000005"/>
    <s v="811 Main St"/>
    <s v="Credit Card"/>
    <x v="6"/>
    <s v="Google"/>
    <n v="2311.2800000000002"/>
  </r>
  <r>
    <s v="ORD200589"/>
    <x v="589"/>
    <x v="5"/>
    <x v="1"/>
    <n v="500.8"/>
    <s v="900 Main St"/>
    <s v="Cash"/>
    <x v="1"/>
    <s v="Referral"/>
    <n v="1001.6"/>
  </r>
  <r>
    <s v="ORD200590"/>
    <x v="590"/>
    <x v="4"/>
    <x v="1"/>
    <n v="461.13"/>
    <s v="175 Main St"/>
    <s v="Gift Card"/>
    <x v="4"/>
    <s v="Email"/>
    <n v="922.26"/>
  </r>
  <r>
    <s v="ORD200591"/>
    <x v="591"/>
    <x v="5"/>
    <x v="2"/>
    <n v="605.28"/>
    <s v="470 Main St"/>
    <s v="Gift Card"/>
    <x v="1"/>
    <s v="Referral"/>
    <n v="605.28"/>
  </r>
  <r>
    <s v="ORD200592"/>
    <x v="592"/>
    <x v="1"/>
    <x v="4"/>
    <n v="204.27"/>
    <s v="938 Main St"/>
    <s v="Online"/>
    <x v="4"/>
    <s v="Google"/>
    <n v="612.81000000000006"/>
  </r>
  <r>
    <s v="ORD200593"/>
    <x v="593"/>
    <x v="0"/>
    <x v="2"/>
    <n v="489.8"/>
    <s v="636 Main St"/>
    <s v="Gift Card"/>
    <x v="4"/>
    <s v="Facebook"/>
    <n v="489.8"/>
  </r>
  <r>
    <s v="ORD200594"/>
    <x v="594"/>
    <x v="1"/>
    <x v="0"/>
    <n v="72.64"/>
    <s v="598 Main St"/>
    <s v="Credit Card"/>
    <x v="0"/>
    <s v="Email"/>
    <n v="363.2"/>
  </r>
  <r>
    <s v="ORD200595"/>
    <x v="595"/>
    <x v="4"/>
    <x v="1"/>
    <n v="385.16"/>
    <s v="491 Main St"/>
    <s v="Online"/>
    <x v="0"/>
    <s v="Email"/>
    <n v="770.32"/>
  </r>
  <r>
    <s v="ORD200596"/>
    <x v="596"/>
    <x v="6"/>
    <x v="4"/>
    <n v="606.41"/>
    <s v="653 Main St"/>
    <s v="Debit Card"/>
    <x v="0"/>
    <s v="Facebook"/>
    <n v="1819.23"/>
  </r>
  <r>
    <s v="ORD200597"/>
    <x v="597"/>
    <x v="6"/>
    <x v="1"/>
    <n v="211.82"/>
    <s v="700 Main St"/>
    <s v="Gift Card"/>
    <x v="4"/>
    <s v="Email"/>
    <n v="423.64"/>
  </r>
  <r>
    <s v="ORD200598"/>
    <x v="598"/>
    <x v="6"/>
    <x v="0"/>
    <n v="495.35"/>
    <s v="826 Main St"/>
    <s v="Credit Card"/>
    <x v="3"/>
    <s v="Facebook"/>
    <n v="2476.75"/>
  </r>
  <r>
    <s v="ORD200599"/>
    <x v="599"/>
    <x v="3"/>
    <x v="4"/>
    <n v="556.99"/>
    <s v="123 Main St"/>
    <s v="Online"/>
    <x v="4"/>
    <s v="Facebook"/>
    <n v="1670.97"/>
  </r>
  <r>
    <s v="ORD200600"/>
    <x v="600"/>
    <x v="4"/>
    <x v="2"/>
    <n v="72.31"/>
    <s v="460 Main St"/>
    <s v="Gift Card"/>
    <x v="9"/>
    <s v="Facebook"/>
    <n v="72.31"/>
  </r>
  <r>
    <s v="ORD200601"/>
    <x v="601"/>
    <x v="0"/>
    <x v="0"/>
    <n v="24.82"/>
    <s v="529 Main St"/>
    <s v="Credit Card"/>
    <x v="8"/>
    <s v="Referral"/>
    <n v="124.1"/>
  </r>
  <r>
    <s v="ORD200602"/>
    <x v="482"/>
    <x v="2"/>
    <x v="3"/>
    <n v="26.04"/>
    <s v="982 Main St"/>
    <s v="Online"/>
    <x v="3"/>
    <s v="Instagram"/>
    <n v="104.16"/>
  </r>
  <r>
    <s v="ORD200603"/>
    <x v="602"/>
    <x v="2"/>
    <x v="2"/>
    <n v="657.07"/>
    <s v="800 Main St"/>
    <s v="Cash"/>
    <x v="4"/>
    <s v="Google"/>
    <n v="657.07"/>
  </r>
  <r>
    <s v="ORD200604"/>
    <x v="603"/>
    <x v="3"/>
    <x v="4"/>
    <n v="32.619999999999997"/>
    <s v="252 Main St"/>
    <s v="Debit Card"/>
    <x v="5"/>
    <s v="Facebook"/>
    <n v="97.859999999999985"/>
  </r>
  <r>
    <s v="ORD200605"/>
    <x v="604"/>
    <x v="0"/>
    <x v="1"/>
    <n v="228.91"/>
    <s v="892 Main St"/>
    <s v="Debit Card"/>
    <x v="4"/>
    <s v="Referral"/>
    <n v="457.82"/>
  </r>
  <r>
    <s v="ORD200606"/>
    <x v="605"/>
    <x v="5"/>
    <x v="4"/>
    <n v="274.75"/>
    <s v="783 Main St"/>
    <s v="Cash"/>
    <x v="1"/>
    <s v="Google"/>
    <n v="824.25"/>
  </r>
  <r>
    <s v="ORD200607"/>
    <x v="606"/>
    <x v="4"/>
    <x v="3"/>
    <n v="634.04999999999995"/>
    <s v="282 Main St"/>
    <s v="Cash"/>
    <x v="5"/>
    <s v="Google"/>
    <n v="2536.1999999999998"/>
  </r>
  <r>
    <s v="ORD200608"/>
    <x v="607"/>
    <x v="5"/>
    <x v="0"/>
    <n v="543.16"/>
    <s v="788 Main St"/>
    <s v="Online"/>
    <x v="5"/>
    <s v="Instagram"/>
    <n v="2715.8"/>
  </r>
  <r>
    <s v="ORD200609"/>
    <x v="608"/>
    <x v="3"/>
    <x v="4"/>
    <n v="449.13"/>
    <s v="809 Main St"/>
    <s v="Cash"/>
    <x v="3"/>
    <s v="Referral"/>
    <n v="1347.39"/>
  </r>
  <r>
    <s v="ORD200610"/>
    <x v="609"/>
    <x v="6"/>
    <x v="0"/>
    <n v="389.62"/>
    <s v="623 Main St"/>
    <s v="Cash"/>
    <x v="0"/>
    <s v="Facebook"/>
    <n v="1948.1"/>
  </r>
  <r>
    <s v="ORD200611"/>
    <x v="610"/>
    <x v="6"/>
    <x v="2"/>
    <n v="305.17"/>
    <s v="700 Main St"/>
    <s v="Gift Card"/>
    <x v="1"/>
    <s v="Referral"/>
    <n v="305.17"/>
  </r>
  <r>
    <s v="ORD200612"/>
    <x v="611"/>
    <x v="3"/>
    <x v="4"/>
    <n v="445.12"/>
    <s v="339 Main St"/>
    <s v="Gift Card"/>
    <x v="2"/>
    <s v="Google"/>
    <n v="1335.36"/>
  </r>
  <r>
    <s v="ORD200613"/>
    <x v="612"/>
    <x v="5"/>
    <x v="1"/>
    <n v="230.36"/>
    <s v="154 Main St"/>
    <s v="Online"/>
    <x v="4"/>
    <s v="Email"/>
    <n v="460.72"/>
  </r>
  <r>
    <s v="ORD200614"/>
    <x v="613"/>
    <x v="1"/>
    <x v="2"/>
    <n v="96.81"/>
    <s v="807 Main St"/>
    <s v="Gift Card"/>
    <x v="1"/>
    <s v="Referral"/>
    <n v="96.81"/>
  </r>
  <r>
    <s v="ORD200615"/>
    <x v="614"/>
    <x v="0"/>
    <x v="0"/>
    <n v="460.14"/>
    <s v="252 Main St"/>
    <s v="Credit Card"/>
    <x v="8"/>
    <s v="Facebook"/>
    <n v="2300.6999999999998"/>
  </r>
  <r>
    <s v="ORD200616"/>
    <x v="615"/>
    <x v="2"/>
    <x v="4"/>
    <n v="601.6"/>
    <s v="984 Main St"/>
    <s v="Credit Card"/>
    <x v="0"/>
    <s v="Facebook"/>
    <n v="1804.8"/>
  </r>
  <r>
    <s v="ORD200617"/>
    <x v="616"/>
    <x v="2"/>
    <x v="4"/>
    <n v="184.47"/>
    <s v="834 Main St"/>
    <s v="Online"/>
    <x v="4"/>
    <s v="Referral"/>
    <n v="553.41"/>
  </r>
  <r>
    <s v="ORD200618"/>
    <x v="617"/>
    <x v="2"/>
    <x v="2"/>
    <n v="411.34"/>
    <s v="399 Main St"/>
    <s v="Debit Card"/>
    <x v="3"/>
    <s v="Instagram"/>
    <n v="411.34"/>
  </r>
  <r>
    <s v="ORD200619"/>
    <x v="618"/>
    <x v="5"/>
    <x v="2"/>
    <n v="532.89"/>
    <s v="764 Main St"/>
    <s v="Gift Card"/>
    <x v="7"/>
    <s v="Referral"/>
    <n v="532.89"/>
  </r>
  <r>
    <s v="ORD200620"/>
    <x v="619"/>
    <x v="2"/>
    <x v="4"/>
    <n v="136.34"/>
    <s v="866 Main St"/>
    <s v="Debit Card"/>
    <x v="2"/>
    <s v="Referral"/>
    <n v="409.02"/>
  </r>
  <r>
    <s v="ORD200621"/>
    <x v="620"/>
    <x v="1"/>
    <x v="0"/>
    <n v="476.01"/>
    <s v="146 Main St"/>
    <s v="Credit Card"/>
    <x v="0"/>
    <s v="Google"/>
    <n v="2380.0500000000002"/>
  </r>
  <r>
    <s v="ORD200622"/>
    <x v="621"/>
    <x v="6"/>
    <x v="0"/>
    <n v="236.38"/>
    <s v="128 Main St"/>
    <s v="Credit Card"/>
    <x v="0"/>
    <s v="Facebook"/>
    <n v="1181.9000000000001"/>
  </r>
  <r>
    <s v="ORD200623"/>
    <x v="622"/>
    <x v="4"/>
    <x v="4"/>
    <n v="396"/>
    <s v="269 Main St"/>
    <s v="Gift Card"/>
    <x v="4"/>
    <s v="Instagram"/>
    <n v="1188"/>
  </r>
  <r>
    <s v="ORD200624"/>
    <x v="623"/>
    <x v="2"/>
    <x v="0"/>
    <n v="341.96"/>
    <s v="747 Main St"/>
    <s v="Debit Card"/>
    <x v="5"/>
    <s v="Email"/>
    <n v="1709.8"/>
  </r>
  <r>
    <s v="ORD200625"/>
    <x v="624"/>
    <x v="2"/>
    <x v="2"/>
    <n v="672.89"/>
    <s v="519 Main St"/>
    <s v="Credit Card"/>
    <x v="9"/>
    <s v="Email"/>
    <n v="672.89"/>
  </r>
  <r>
    <s v="ORD200626"/>
    <x v="625"/>
    <x v="2"/>
    <x v="1"/>
    <n v="657.48"/>
    <s v="769 Main St"/>
    <s v="Online"/>
    <x v="3"/>
    <s v="Referral"/>
    <n v="1314.96"/>
  </r>
  <r>
    <s v="ORD200627"/>
    <x v="626"/>
    <x v="3"/>
    <x v="4"/>
    <n v="498.68"/>
    <s v="879 Main St"/>
    <s v="Online"/>
    <x v="4"/>
    <s v="Email"/>
    <n v="1496.04"/>
  </r>
  <r>
    <s v="ORD200628"/>
    <x v="627"/>
    <x v="4"/>
    <x v="0"/>
    <n v="558.63"/>
    <s v="861 Main St"/>
    <s v="Cash"/>
    <x v="2"/>
    <s v="Referral"/>
    <n v="2793.15"/>
  </r>
  <r>
    <s v="ORD200629"/>
    <x v="628"/>
    <x v="1"/>
    <x v="4"/>
    <n v="19.73"/>
    <s v="840 Main St"/>
    <s v="Online"/>
    <x v="1"/>
    <s v="Referral"/>
    <n v="59.19"/>
  </r>
  <r>
    <s v="ORD200630"/>
    <x v="629"/>
    <x v="0"/>
    <x v="0"/>
    <n v="248.84"/>
    <s v="140 Main St"/>
    <s v="Debit Card"/>
    <x v="8"/>
    <s v="Instagram"/>
    <n v="1244.2"/>
  </r>
  <r>
    <s v="ORD200631"/>
    <x v="630"/>
    <x v="3"/>
    <x v="4"/>
    <n v="46.11"/>
    <s v="360 Main St"/>
    <s v="Gift Card"/>
    <x v="3"/>
    <s v="Referral"/>
    <n v="138.33000000000001"/>
  </r>
  <r>
    <s v="ORD200632"/>
    <x v="631"/>
    <x v="5"/>
    <x v="0"/>
    <n v="678.16"/>
    <s v="463 Main St"/>
    <s v="Gift Card"/>
    <x v="0"/>
    <s v="Facebook"/>
    <n v="3390.8"/>
  </r>
  <r>
    <s v="ORD200633"/>
    <x v="632"/>
    <x v="5"/>
    <x v="0"/>
    <n v="601.72"/>
    <s v="921 Main St"/>
    <s v="Gift Card"/>
    <x v="3"/>
    <s v="Instagram"/>
    <n v="3008.6"/>
  </r>
  <r>
    <s v="ORD200634"/>
    <x v="633"/>
    <x v="4"/>
    <x v="1"/>
    <n v="259.32"/>
    <s v="117 Main St"/>
    <s v="Gift Card"/>
    <x v="7"/>
    <s v="Referral"/>
    <n v="518.64"/>
  </r>
  <r>
    <s v="ORD200635"/>
    <x v="634"/>
    <x v="3"/>
    <x v="4"/>
    <n v="63.68"/>
    <s v="434 Main St"/>
    <s v="Cash"/>
    <x v="5"/>
    <s v="Facebook"/>
    <n v="191.04"/>
  </r>
  <r>
    <s v="ORD200636"/>
    <x v="635"/>
    <x v="5"/>
    <x v="3"/>
    <n v="371.07"/>
    <s v="336 Main St"/>
    <s v="Cash"/>
    <x v="0"/>
    <s v="Facebook"/>
    <n v="1484.28"/>
  </r>
  <r>
    <s v="ORD200637"/>
    <x v="636"/>
    <x v="3"/>
    <x v="3"/>
    <n v="306.35000000000002"/>
    <s v="784 Main St"/>
    <s v="Gift Card"/>
    <x v="0"/>
    <s v="Referral"/>
    <n v="1225.4000000000001"/>
  </r>
  <r>
    <s v="ORD200638"/>
    <x v="637"/>
    <x v="2"/>
    <x v="3"/>
    <n v="578.27"/>
    <s v="547 Main St"/>
    <s v="Online"/>
    <x v="6"/>
    <s v="Email"/>
    <n v="2313.08"/>
  </r>
  <r>
    <s v="ORD200639"/>
    <x v="638"/>
    <x v="3"/>
    <x v="2"/>
    <n v="529.19000000000005"/>
    <s v="391 Main St"/>
    <s v="Cash"/>
    <x v="3"/>
    <s v="Referral"/>
    <n v="529.19000000000005"/>
  </r>
  <r>
    <s v="ORD200640"/>
    <x v="639"/>
    <x v="3"/>
    <x v="1"/>
    <n v="587.49"/>
    <s v="647 Main St"/>
    <s v="Gift Card"/>
    <x v="5"/>
    <s v="Referral"/>
    <n v="1174.98"/>
  </r>
  <r>
    <s v="ORD200641"/>
    <x v="640"/>
    <x v="4"/>
    <x v="3"/>
    <n v="567.57000000000005"/>
    <s v="814 Main St"/>
    <s v="Debit Card"/>
    <x v="6"/>
    <s v="Google"/>
    <n v="2270.2800000000002"/>
  </r>
  <r>
    <s v="ORD200642"/>
    <x v="641"/>
    <x v="3"/>
    <x v="0"/>
    <n v="85.22"/>
    <s v="527 Main St"/>
    <s v="Credit Card"/>
    <x v="0"/>
    <s v="Email"/>
    <n v="426.1"/>
  </r>
  <r>
    <s v="ORD200643"/>
    <x v="642"/>
    <x v="5"/>
    <x v="2"/>
    <n v="438.37"/>
    <s v="647 Main St"/>
    <s v="Cash"/>
    <x v="4"/>
    <s v="Referral"/>
    <n v="438.37"/>
  </r>
  <r>
    <s v="ORD200644"/>
    <x v="643"/>
    <x v="3"/>
    <x v="1"/>
    <n v="366.23"/>
    <s v="961 Main St"/>
    <s v="Cash"/>
    <x v="7"/>
    <s v="Email"/>
    <n v="732.46"/>
  </r>
  <r>
    <s v="ORD200645"/>
    <x v="644"/>
    <x v="5"/>
    <x v="1"/>
    <n v="150.05000000000001"/>
    <s v="727 Main St"/>
    <s v="Credit Card"/>
    <x v="4"/>
    <s v="Facebook"/>
    <n v="300.10000000000002"/>
  </r>
  <r>
    <s v="ORD200646"/>
    <x v="645"/>
    <x v="3"/>
    <x v="3"/>
    <n v="498.51"/>
    <s v="804 Main St"/>
    <s v="Debit Card"/>
    <x v="4"/>
    <s v="Google"/>
    <n v="1994.04"/>
  </r>
  <r>
    <s v="ORD200647"/>
    <x v="646"/>
    <x v="6"/>
    <x v="4"/>
    <n v="339.39"/>
    <s v="667 Main St"/>
    <s v="Cash"/>
    <x v="0"/>
    <s v="Google"/>
    <n v="1018.17"/>
  </r>
  <r>
    <s v="ORD200648"/>
    <x v="647"/>
    <x v="0"/>
    <x v="1"/>
    <n v="575.83000000000004"/>
    <s v="182 Main St"/>
    <s v="Online"/>
    <x v="1"/>
    <s v="Referral"/>
    <n v="1151.6600000000001"/>
  </r>
  <r>
    <s v="ORD200649"/>
    <x v="648"/>
    <x v="0"/>
    <x v="1"/>
    <n v="642.98"/>
    <s v="153 Main St"/>
    <s v="Debit Card"/>
    <x v="0"/>
    <s v="Email"/>
    <n v="1285.96"/>
  </r>
  <r>
    <s v="ORD200650"/>
    <x v="649"/>
    <x v="6"/>
    <x v="1"/>
    <n v="372.23"/>
    <s v="518 Main St"/>
    <s v="Gift Card"/>
    <x v="0"/>
    <s v="Email"/>
    <n v="744.46"/>
  </r>
  <r>
    <s v="ORD200651"/>
    <x v="650"/>
    <x v="3"/>
    <x v="4"/>
    <n v="646.34"/>
    <s v="429 Main St"/>
    <s v="Debit Card"/>
    <x v="3"/>
    <s v="Google"/>
    <n v="1939.02"/>
  </r>
  <r>
    <s v="ORD200652"/>
    <x v="651"/>
    <x v="3"/>
    <x v="0"/>
    <n v="341.84"/>
    <s v="328 Main St"/>
    <s v="Online"/>
    <x v="2"/>
    <s v="Instagram"/>
    <n v="1709.2"/>
  </r>
  <r>
    <s v="ORD200653"/>
    <x v="652"/>
    <x v="4"/>
    <x v="4"/>
    <n v="690.3"/>
    <s v="747 Main St"/>
    <s v="Credit Card"/>
    <x v="5"/>
    <s v="Google"/>
    <n v="2070.9"/>
  </r>
  <r>
    <s v="ORD200654"/>
    <x v="653"/>
    <x v="2"/>
    <x v="4"/>
    <n v="382.37"/>
    <s v="863 Main St"/>
    <s v="Debit Card"/>
    <x v="2"/>
    <s v="Instagram"/>
    <n v="1147.1099999999999"/>
  </r>
  <r>
    <s v="ORD200655"/>
    <x v="654"/>
    <x v="3"/>
    <x v="1"/>
    <n v="132.6"/>
    <s v="262 Main St"/>
    <s v="Debit Card"/>
    <x v="4"/>
    <s v="Email"/>
    <n v="265.2"/>
  </r>
  <r>
    <s v="ORD200656"/>
    <x v="655"/>
    <x v="0"/>
    <x v="1"/>
    <n v="189.06"/>
    <s v="835 Main St"/>
    <s v="Gift Card"/>
    <x v="0"/>
    <s v="Facebook"/>
    <n v="378.12"/>
  </r>
  <r>
    <s v="ORD200657"/>
    <x v="656"/>
    <x v="2"/>
    <x v="3"/>
    <n v="87.79"/>
    <s v="532 Main St"/>
    <s v="Cash"/>
    <x v="5"/>
    <s v="Instagram"/>
    <n v="351.16"/>
  </r>
  <r>
    <s v="ORD200658"/>
    <x v="657"/>
    <x v="4"/>
    <x v="1"/>
    <n v="46.36"/>
    <s v="670 Main St"/>
    <s v="Gift Card"/>
    <x v="4"/>
    <s v="Google"/>
    <n v="92.72"/>
  </r>
  <r>
    <s v="ORD200659"/>
    <x v="658"/>
    <x v="1"/>
    <x v="1"/>
    <n v="642.04"/>
    <s v="964 Main St"/>
    <s v="Gift Card"/>
    <x v="4"/>
    <s v="Email"/>
    <n v="1284.08"/>
  </r>
  <r>
    <s v="ORD200660"/>
    <x v="659"/>
    <x v="3"/>
    <x v="1"/>
    <n v="651.57000000000005"/>
    <s v="933 Main St"/>
    <s v="Debit Card"/>
    <x v="0"/>
    <s v="Facebook"/>
    <n v="1303.1400000000001"/>
  </r>
  <r>
    <s v="ORD200661"/>
    <x v="660"/>
    <x v="2"/>
    <x v="4"/>
    <n v="424.89"/>
    <s v="116 Main St"/>
    <s v="Debit Card"/>
    <x v="5"/>
    <s v="Google"/>
    <n v="1274.67"/>
  </r>
  <r>
    <s v="ORD200662"/>
    <x v="661"/>
    <x v="5"/>
    <x v="4"/>
    <n v="438.89"/>
    <s v="985 Main St"/>
    <s v="Cash"/>
    <x v="1"/>
    <s v="Facebook"/>
    <n v="1316.67"/>
  </r>
  <r>
    <s v="ORD200663"/>
    <x v="662"/>
    <x v="0"/>
    <x v="2"/>
    <n v="72.599999999999994"/>
    <s v="941 Main St"/>
    <s v="Debit Card"/>
    <x v="5"/>
    <s v="Instagram"/>
    <n v="72.599999999999994"/>
  </r>
  <r>
    <s v="ORD200664"/>
    <x v="236"/>
    <x v="5"/>
    <x v="3"/>
    <n v="194.75"/>
    <s v="188 Main St"/>
    <s v="Cash"/>
    <x v="3"/>
    <s v="Facebook"/>
    <n v="779"/>
  </r>
  <r>
    <s v="ORD200665"/>
    <x v="663"/>
    <x v="2"/>
    <x v="3"/>
    <n v="231.26"/>
    <s v="253 Main St"/>
    <s v="Online"/>
    <x v="5"/>
    <s v="Google"/>
    <n v="925.04"/>
  </r>
  <r>
    <s v="ORD200666"/>
    <x v="664"/>
    <x v="0"/>
    <x v="3"/>
    <n v="327.12"/>
    <s v="788 Main St"/>
    <s v="Credit Card"/>
    <x v="4"/>
    <s v="Email"/>
    <n v="1308.48"/>
  </r>
  <r>
    <s v="ORD200667"/>
    <x v="665"/>
    <x v="5"/>
    <x v="2"/>
    <n v="466.42"/>
    <s v="172 Main St"/>
    <s v="Gift Card"/>
    <x v="3"/>
    <s v="Email"/>
    <n v="466.42"/>
  </r>
  <r>
    <s v="ORD200668"/>
    <x v="666"/>
    <x v="0"/>
    <x v="1"/>
    <n v="253.67"/>
    <s v="981 Main St"/>
    <s v="Cash"/>
    <x v="1"/>
    <s v="Facebook"/>
    <n v="507.34"/>
  </r>
  <r>
    <s v="ORD200669"/>
    <x v="667"/>
    <x v="6"/>
    <x v="2"/>
    <n v="257"/>
    <s v="812 Main St"/>
    <s v="Debit Card"/>
    <x v="3"/>
    <s v="Referral"/>
    <n v="257"/>
  </r>
  <r>
    <s v="ORD200670"/>
    <x v="668"/>
    <x v="6"/>
    <x v="3"/>
    <n v="539.20000000000005"/>
    <s v="747 Main St"/>
    <s v="Credit Card"/>
    <x v="2"/>
    <s v="Google"/>
    <n v="2156.8000000000002"/>
  </r>
  <r>
    <s v="ORD200671"/>
    <x v="669"/>
    <x v="3"/>
    <x v="0"/>
    <n v="50.74"/>
    <s v="737 Main St"/>
    <s v="Gift Card"/>
    <x v="0"/>
    <s v="Google"/>
    <n v="253.7"/>
  </r>
  <r>
    <s v="ORD200672"/>
    <x v="670"/>
    <x v="1"/>
    <x v="1"/>
    <n v="624.16"/>
    <s v="984 Main St"/>
    <s v="Debit Card"/>
    <x v="7"/>
    <s v="Instagram"/>
    <n v="1248.32"/>
  </r>
  <r>
    <s v="ORD200673"/>
    <x v="671"/>
    <x v="2"/>
    <x v="1"/>
    <n v="372.92"/>
    <s v="131 Main St"/>
    <s v="Credit Card"/>
    <x v="0"/>
    <s v="Email"/>
    <n v="745.84"/>
  </r>
  <r>
    <s v="ORD200674"/>
    <x v="672"/>
    <x v="5"/>
    <x v="3"/>
    <n v="358.75"/>
    <s v="860 Main St"/>
    <s v="Gift Card"/>
    <x v="6"/>
    <s v="Facebook"/>
    <n v="1435"/>
  </r>
  <r>
    <s v="ORD200675"/>
    <x v="673"/>
    <x v="6"/>
    <x v="4"/>
    <n v="342.02"/>
    <s v="906 Main St"/>
    <s v="Debit Card"/>
    <x v="3"/>
    <s v="Email"/>
    <n v="1026.06"/>
  </r>
  <r>
    <s v="ORD200676"/>
    <x v="674"/>
    <x v="5"/>
    <x v="1"/>
    <n v="422.34"/>
    <s v="985 Main St"/>
    <s v="Credit Card"/>
    <x v="4"/>
    <s v="Instagram"/>
    <n v="844.68"/>
  </r>
  <r>
    <s v="ORD200677"/>
    <x v="675"/>
    <x v="2"/>
    <x v="0"/>
    <n v="22.07"/>
    <s v="179 Main St"/>
    <s v="Online"/>
    <x v="0"/>
    <s v="Instagram"/>
    <n v="110.35"/>
  </r>
  <r>
    <s v="ORD200678"/>
    <x v="676"/>
    <x v="3"/>
    <x v="4"/>
    <n v="163.13"/>
    <s v="457 Main St"/>
    <s v="Gift Card"/>
    <x v="3"/>
    <s v="Facebook"/>
    <n v="489.39"/>
  </r>
  <r>
    <s v="ORD200679"/>
    <x v="677"/>
    <x v="2"/>
    <x v="4"/>
    <n v="360.66"/>
    <s v="304 Main St"/>
    <s v="Online"/>
    <x v="3"/>
    <s v="Instagram"/>
    <n v="1081.98"/>
  </r>
  <r>
    <s v="ORD200680"/>
    <x v="678"/>
    <x v="0"/>
    <x v="4"/>
    <n v="463.39"/>
    <s v="694 Main St"/>
    <s v="Credit Card"/>
    <x v="1"/>
    <s v="Facebook"/>
    <n v="1390.17"/>
  </r>
  <r>
    <s v="ORD200681"/>
    <x v="679"/>
    <x v="2"/>
    <x v="2"/>
    <n v="155.27000000000001"/>
    <s v="548 Main St"/>
    <s v="Debit Card"/>
    <x v="5"/>
    <s v="Email"/>
    <n v="155.27000000000001"/>
  </r>
  <r>
    <s v="ORD200682"/>
    <x v="680"/>
    <x v="0"/>
    <x v="4"/>
    <n v="509.42"/>
    <s v="449 Main St"/>
    <s v="Credit Card"/>
    <x v="3"/>
    <s v="Google"/>
    <n v="1528.26"/>
  </r>
  <r>
    <s v="ORD200683"/>
    <x v="681"/>
    <x v="6"/>
    <x v="3"/>
    <n v="652.48"/>
    <s v="887 Main St"/>
    <s v="Cash"/>
    <x v="3"/>
    <s v="Instagram"/>
    <n v="2609.92"/>
  </r>
  <r>
    <s v="ORD200684"/>
    <x v="682"/>
    <x v="4"/>
    <x v="3"/>
    <n v="34.840000000000003"/>
    <s v="288 Main St"/>
    <s v="Credit Card"/>
    <x v="2"/>
    <s v="Email"/>
    <n v="139.36000000000001"/>
  </r>
  <r>
    <s v="ORD200685"/>
    <x v="683"/>
    <x v="6"/>
    <x v="2"/>
    <n v="234.37"/>
    <s v="638 Main St"/>
    <s v="Debit Card"/>
    <x v="3"/>
    <s v="Email"/>
    <n v="234.37"/>
  </r>
  <r>
    <s v="ORD200686"/>
    <x v="684"/>
    <x v="6"/>
    <x v="4"/>
    <n v="53.6"/>
    <s v="525 Main St"/>
    <s v="Cash"/>
    <x v="4"/>
    <s v="Facebook"/>
    <n v="160.80000000000001"/>
  </r>
  <r>
    <s v="ORD200687"/>
    <x v="685"/>
    <x v="2"/>
    <x v="2"/>
    <n v="332.09"/>
    <s v="408 Main St"/>
    <s v="Gift Card"/>
    <x v="3"/>
    <s v="Instagram"/>
    <n v="332.09"/>
  </r>
  <r>
    <s v="ORD200688"/>
    <x v="686"/>
    <x v="0"/>
    <x v="3"/>
    <n v="593.22"/>
    <s v="154 Main St"/>
    <s v="Credit Card"/>
    <x v="2"/>
    <s v="Facebook"/>
    <n v="2372.88"/>
  </r>
  <r>
    <s v="ORD200689"/>
    <x v="687"/>
    <x v="2"/>
    <x v="1"/>
    <n v="444.84"/>
    <s v="787 Main St"/>
    <s v="Online"/>
    <x v="0"/>
    <s v="Facebook"/>
    <n v="889.68"/>
  </r>
  <r>
    <s v="ORD200690"/>
    <x v="688"/>
    <x v="0"/>
    <x v="2"/>
    <n v="24.48"/>
    <s v="128 Main St"/>
    <s v="Gift Card"/>
    <x v="9"/>
    <s v="Instagram"/>
    <n v="24.48"/>
  </r>
  <r>
    <s v="ORD200691"/>
    <x v="689"/>
    <x v="5"/>
    <x v="4"/>
    <n v="239.08"/>
    <s v="396 Main St"/>
    <s v="Cash"/>
    <x v="2"/>
    <s v="Google"/>
    <n v="717.24"/>
  </r>
  <r>
    <s v="ORD200692"/>
    <x v="690"/>
    <x v="6"/>
    <x v="0"/>
    <n v="196.84"/>
    <s v="319 Main St"/>
    <s v="Credit Card"/>
    <x v="3"/>
    <s v="Instagram"/>
    <n v="984.2"/>
  </r>
  <r>
    <s v="ORD200693"/>
    <x v="691"/>
    <x v="0"/>
    <x v="2"/>
    <n v="176.58"/>
    <s v="674 Main St"/>
    <s v="Debit Card"/>
    <x v="4"/>
    <s v="Referral"/>
    <n v="176.58"/>
  </r>
  <r>
    <s v="ORD200694"/>
    <x v="692"/>
    <x v="4"/>
    <x v="3"/>
    <n v="666.52"/>
    <s v="619 Main St"/>
    <s v="Cash"/>
    <x v="2"/>
    <s v="Email"/>
    <n v="2666.08"/>
  </r>
  <r>
    <s v="ORD200695"/>
    <x v="693"/>
    <x v="4"/>
    <x v="0"/>
    <n v="101.3"/>
    <s v="553 Main St"/>
    <s v="Online"/>
    <x v="0"/>
    <s v="Email"/>
    <n v="506.5"/>
  </r>
  <r>
    <s v="ORD200696"/>
    <x v="694"/>
    <x v="3"/>
    <x v="3"/>
    <n v="151.19999999999999"/>
    <s v="965 Main St"/>
    <s v="Gift Card"/>
    <x v="6"/>
    <s v="Facebook"/>
    <n v="604.79999999999995"/>
  </r>
  <r>
    <s v="ORD200697"/>
    <x v="695"/>
    <x v="4"/>
    <x v="0"/>
    <n v="94.85"/>
    <s v="788 Main St"/>
    <s v="Cash"/>
    <x v="5"/>
    <s v="Email"/>
    <n v="474.25"/>
  </r>
  <r>
    <s v="ORD200698"/>
    <x v="696"/>
    <x v="5"/>
    <x v="1"/>
    <n v="388.22"/>
    <s v="169 Main St"/>
    <s v="Cash"/>
    <x v="7"/>
    <s v="Instagram"/>
    <n v="776.44"/>
  </r>
  <r>
    <s v="ORD200699"/>
    <x v="697"/>
    <x v="5"/>
    <x v="4"/>
    <n v="614.15"/>
    <s v="897 Main St"/>
    <s v="Gift Card"/>
    <x v="1"/>
    <s v="Facebook"/>
    <n v="1842.45"/>
  </r>
  <r>
    <s v="ORD200700"/>
    <x v="698"/>
    <x v="5"/>
    <x v="1"/>
    <n v="92.91"/>
    <s v="555 Main St"/>
    <s v="Cash"/>
    <x v="1"/>
    <s v="Instagram"/>
    <n v="185.82"/>
  </r>
  <r>
    <s v="ORD200701"/>
    <x v="699"/>
    <x v="0"/>
    <x v="4"/>
    <n v="92.22"/>
    <s v="115 Main St"/>
    <s v="Credit Card"/>
    <x v="3"/>
    <s v="Email"/>
    <n v="276.66000000000003"/>
  </r>
  <r>
    <s v="ORD200702"/>
    <x v="700"/>
    <x v="4"/>
    <x v="4"/>
    <n v="562.54999999999995"/>
    <s v="154 Main St"/>
    <s v="Debit Card"/>
    <x v="5"/>
    <s v="Email"/>
    <n v="1687.65"/>
  </r>
  <r>
    <s v="ORD200703"/>
    <x v="701"/>
    <x v="6"/>
    <x v="2"/>
    <n v="92.79"/>
    <s v="799 Main St"/>
    <s v="Cash"/>
    <x v="1"/>
    <s v="Email"/>
    <n v="92.79"/>
  </r>
  <r>
    <s v="ORD200704"/>
    <x v="702"/>
    <x v="6"/>
    <x v="3"/>
    <n v="30.27"/>
    <s v="819 Main St"/>
    <s v="Online"/>
    <x v="6"/>
    <s v="Google"/>
    <n v="121.08"/>
  </r>
  <r>
    <s v="ORD200705"/>
    <x v="703"/>
    <x v="0"/>
    <x v="1"/>
    <n v="49.08"/>
    <s v="420 Main St"/>
    <s v="Debit Card"/>
    <x v="0"/>
    <s v="Instagram"/>
    <n v="98.16"/>
  </r>
  <r>
    <s v="ORD200706"/>
    <x v="704"/>
    <x v="6"/>
    <x v="0"/>
    <n v="228.09"/>
    <s v="969 Main St"/>
    <s v="Gift Card"/>
    <x v="6"/>
    <s v="Facebook"/>
    <n v="1140.45"/>
  </r>
  <r>
    <s v="ORD200707"/>
    <x v="705"/>
    <x v="3"/>
    <x v="3"/>
    <n v="650.04"/>
    <s v="989 Main St"/>
    <s v="Gift Card"/>
    <x v="5"/>
    <s v="Facebook"/>
    <n v="2600.16"/>
  </r>
  <r>
    <s v="ORD200708"/>
    <x v="706"/>
    <x v="4"/>
    <x v="2"/>
    <n v="665.11"/>
    <s v="788 Main St"/>
    <s v="Cash"/>
    <x v="1"/>
    <s v="Instagram"/>
    <n v="665.11"/>
  </r>
  <r>
    <s v="ORD200709"/>
    <x v="707"/>
    <x v="6"/>
    <x v="2"/>
    <n v="386.03"/>
    <s v="855 Main St"/>
    <s v="Online"/>
    <x v="4"/>
    <s v="Google"/>
    <n v="386.03"/>
  </r>
  <r>
    <s v="ORD200710"/>
    <x v="708"/>
    <x v="5"/>
    <x v="0"/>
    <n v="21.54"/>
    <s v="113 Main St"/>
    <s v="Gift Card"/>
    <x v="8"/>
    <s v="Google"/>
    <n v="107.7"/>
  </r>
  <r>
    <s v="ORD200711"/>
    <x v="709"/>
    <x v="2"/>
    <x v="1"/>
    <n v="475.78"/>
    <s v="632 Main St"/>
    <s v="Online"/>
    <x v="7"/>
    <s v="Google"/>
    <n v="951.56"/>
  </r>
  <r>
    <s v="ORD200712"/>
    <x v="557"/>
    <x v="2"/>
    <x v="1"/>
    <n v="68.400000000000006"/>
    <s v="993 Main St"/>
    <s v="Gift Card"/>
    <x v="0"/>
    <s v="Email"/>
    <n v="136.80000000000001"/>
  </r>
  <r>
    <s v="ORD200713"/>
    <x v="710"/>
    <x v="2"/>
    <x v="3"/>
    <n v="532.49"/>
    <s v="638 Main St"/>
    <s v="Online"/>
    <x v="5"/>
    <s v="Facebook"/>
    <n v="2129.96"/>
  </r>
  <r>
    <s v="ORD200714"/>
    <x v="711"/>
    <x v="5"/>
    <x v="2"/>
    <n v="51.73"/>
    <s v="278 Main St"/>
    <s v="Debit Card"/>
    <x v="9"/>
    <s v="Facebook"/>
    <n v="51.73"/>
  </r>
  <r>
    <s v="ORD200715"/>
    <x v="712"/>
    <x v="4"/>
    <x v="4"/>
    <n v="653.63"/>
    <s v="281 Main St"/>
    <s v="Online"/>
    <x v="0"/>
    <s v="Email"/>
    <n v="1960.89"/>
  </r>
  <r>
    <s v="ORD200716"/>
    <x v="713"/>
    <x v="3"/>
    <x v="4"/>
    <n v="454.29"/>
    <s v="891 Main St"/>
    <s v="Credit Card"/>
    <x v="4"/>
    <s v="Google"/>
    <n v="1362.87"/>
  </r>
  <r>
    <s v="ORD200717"/>
    <x v="714"/>
    <x v="3"/>
    <x v="4"/>
    <n v="122.11"/>
    <s v="707 Main St"/>
    <s v="Online"/>
    <x v="4"/>
    <s v="Email"/>
    <n v="366.33"/>
  </r>
  <r>
    <s v="ORD200718"/>
    <x v="715"/>
    <x v="5"/>
    <x v="3"/>
    <n v="64.739999999999995"/>
    <s v="718 Main St"/>
    <s v="Gift Card"/>
    <x v="2"/>
    <s v="Google"/>
    <n v="258.95999999999998"/>
  </r>
  <r>
    <s v="ORD200719"/>
    <x v="716"/>
    <x v="5"/>
    <x v="1"/>
    <n v="681.06"/>
    <s v="703 Main St"/>
    <s v="Debit Card"/>
    <x v="1"/>
    <s v="Facebook"/>
    <n v="1362.12"/>
  </r>
  <r>
    <s v="ORD200720"/>
    <x v="717"/>
    <x v="6"/>
    <x v="0"/>
    <n v="128.94999999999999"/>
    <s v="305 Main St"/>
    <s v="Cash"/>
    <x v="8"/>
    <s v="Instagram"/>
    <n v="644.75"/>
  </r>
  <r>
    <s v="ORD200721"/>
    <x v="718"/>
    <x v="6"/>
    <x v="1"/>
    <n v="118.59"/>
    <s v="890 Main St"/>
    <s v="Credit Card"/>
    <x v="7"/>
    <s v="Email"/>
    <n v="237.18"/>
  </r>
  <r>
    <s v="ORD200722"/>
    <x v="719"/>
    <x v="4"/>
    <x v="2"/>
    <n v="95.1"/>
    <s v="516 Main St"/>
    <s v="Gift Card"/>
    <x v="9"/>
    <s v="Instagram"/>
    <n v="95.1"/>
  </r>
  <r>
    <s v="ORD200723"/>
    <x v="720"/>
    <x v="6"/>
    <x v="4"/>
    <n v="54.95"/>
    <s v="385 Main St"/>
    <s v="Cash"/>
    <x v="2"/>
    <s v="Referral"/>
    <n v="164.85"/>
  </r>
  <r>
    <s v="ORD200724"/>
    <x v="721"/>
    <x v="4"/>
    <x v="4"/>
    <n v="136.97"/>
    <s v="326 Main St"/>
    <s v="Credit Card"/>
    <x v="4"/>
    <s v="Referral"/>
    <n v="410.91"/>
  </r>
  <r>
    <s v="ORD200725"/>
    <x v="722"/>
    <x v="3"/>
    <x v="1"/>
    <n v="194.85"/>
    <s v="372 Main St"/>
    <s v="Gift Card"/>
    <x v="3"/>
    <s v="Referral"/>
    <n v="389.7"/>
  </r>
  <r>
    <s v="ORD200726"/>
    <x v="723"/>
    <x v="5"/>
    <x v="3"/>
    <n v="583.02"/>
    <s v="338 Main St"/>
    <s v="Online"/>
    <x v="4"/>
    <s v="Facebook"/>
    <n v="2332.08"/>
  </r>
  <r>
    <s v="ORD200727"/>
    <x v="724"/>
    <x v="3"/>
    <x v="0"/>
    <n v="95.75"/>
    <s v="379 Main St"/>
    <s v="Online"/>
    <x v="2"/>
    <s v="Instagram"/>
    <n v="478.75"/>
  </r>
  <r>
    <s v="ORD200728"/>
    <x v="725"/>
    <x v="6"/>
    <x v="3"/>
    <n v="325.76"/>
    <s v="827 Main St"/>
    <s v="Gift Card"/>
    <x v="2"/>
    <s v="Email"/>
    <n v="1303.04"/>
  </r>
  <r>
    <s v="ORD200729"/>
    <x v="726"/>
    <x v="1"/>
    <x v="3"/>
    <n v="186.41"/>
    <s v="819 Main St"/>
    <s v="Gift Card"/>
    <x v="5"/>
    <s v="Google"/>
    <n v="745.64"/>
  </r>
  <r>
    <s v="ORD200730"/>
    <x v="727"/>
    <x v="1"/>
    <x v="2"/>
    <n v="474.6"/>
    <s v="407 Main St"/>
    <s v="Debit Card"/>
    <x v="4"/>
    <s v="Email"/>
    <n v="474.6"/>
  </r>
  <r>
    <s v="ORD200731"/>
    <x v="728"/>
    <x v="4"/>
    <x v="0"/>
    <n v="584.46"/>
    <s v="308 Main St"/>
    <s v="Credit Card"/>
    <x v="2"/>
    <s v="Email"/>
    <n v="2922.3"/>
  </r>
  <r>
    <s v="ORD200732"/>
    <x v="729"/>
    <x v="5"/>
    <x v="2"/>
    <n v="132.05000000000001"/>
    <s v="787 Main St"/>
    <s v="Online"/>
    <x v="7"/>
    <s v="Google"/>
    <n v="132.05000000000001"/>
  </r>
  <r>
    <s v="ORD200733"/>
    <x v="730"/>
    <x v="2"/>
    <x v="3"/>
    <n v="494.84"/>
    <s v="694 Main St"/>
    <s v="Cash"/>
    <x v="2"/>
    <s v="Email"/>
    <n v="1979.36"/>
  </r>
  <r>
    <s v="ORD200734"/>
    <x v="731"/>
    <x v="4"/>
    <x v="3"/>
    <n v="224.61"/>
    <s v="630 Main St"/>
    <s v="Credit Card"/>
    <x v="5"/>
    <s v="Facebook"/>
    <n v="898.44"/>
  </r>
  <r>
    <s v="ORD200735"/>
    <x v="732"/>
    <x v="0"/>
    <x v="3"/>
    <n v="44.07"/>
    <s v="359 Main St"/>
    <s v="Debit Card"/>
    <x v="5"/>
    <s v="Email"/>
    <n v="176.28"/>
  </r>
  <r>
    <s v="ORD200736"/>
    <x v="733"/>
    <x v="0"/>
    <x v="0"/>
    <n v="418.53"/>
    <s v="696 Main St"/>
    <s v="Credit Card"/>
    <x v="5"/>
    <s v="Google"/>
    <n v="2092.65"/>
  </r>
  <r>
    <s v="ORD200737"/>
    <x v="734"/>
    <x v="1"/>
    <x v="3"/>
    <n v="532.87"/>
    <s v="972 Main St"/>
    <s v="Cash"/>
    <x v="6"/>
    <s v="Instagram"/>
    <n v="2131.48"/>
  </r>
  <r>
    <s v="ORD200738"/>
    <x v="735"/>
    <x v="1"/>
    <x v="1"/>
    <n v="485.37"/>
    <s v="264 Main St"/>
    <s v="Credit Card"/>
    <x v="3"/>
    <s v="Email"/>
    <n v="970.74"/>
  </r>
  <r>
    <s v="ORD200739"/>
    <x v="736"/>
    <x v="1"/>
    <x v="3"/>
    <n v="386.73"/>
    <s v="513 Main St"/>
    <s v="Cash"/>
    <x v="4"/>
    <s v="Facebook"/>
    <n v="1546.92"/>
  </r>
  <r>
    <s v="ORD200740"/>
    <x v="737"/>
    <x v="6"/>
    <x v="1"/>
    <n v="377.47"/>
    <s v="433 Main St"/>
    <s v="Cash"/>
    <x v="0"/>
    <s v="Google"/>
    <n v="754.94"/>
  </r>
  <r>
    <s v="ORD200741"/>
    <x v="738"/>
    <x v="0"/>
    <x v="0"/>
    <n v="332.64"/>
    <s v="945 Main St"/>
    <s v="Gift Card"/>
    <x v="8"/>
    <s v="Referral"/>
    <n v="1663.2"/>
  </r>
  <r>
    <s v="ORD200742"/>
    <x v="739"/>
    <x v="5"/>
    <x v="4"/>
    <n v="699.93"/>
    <s v="726 Main St"/>
    <s v="Cash"/>
    <x v="0"/>
    <s v="Google"/>
    <n v="2099.79"/>
  </r>
  <r>
    <s v="ORD200743"/>
    <x v="740"/>
    <x v="0"/>
    <x v="2"/>
    <n v="576.35"/>
    <s v="549 Main St"/>
    <s v="Gift Card"/>
    <x v="9"/>
    <s v="Instagram"/>
    <n v="576.35"/>
  </r>
  <r>
    <s v="ORD200744"/>
    <x v="741"/>
    <x v="2"/>
    <x v="1"/>
    <n v="461.37"/>
    <s v="200 Main St"/>
    <s v="Cash"/>
    <x v="3"/>
    <s v="Google"/>
    <n v="922.74"/>
  </r>
  <r>
    <s v="ORD200745"/>
    <x v="742"/>
    <x v="4"/>
    <x v="3"/>
    <n v="111.3"/>
    <s v="364 Main St"/>
    <s v="Debit Card"/>
    <x v="0"/>
    <s v="Email"/>
    <n v="445.2"/>
  </r>
  <r>
    <s v="ORD200746"/>
    <x v="743"/>
    <x v="6"/>
    <x v="4"/>
    <n v="661.89"/>
    <s v="551 Main St"/>
    <s v="Online"/>
    <x v="5"/>
    <s v="Referral"/>
    <n v="1985.67"/>
  </r>
  <r>
    <s v="ORD200747"/>
    <x v="744"/>
    <x v="2"/>
    <x v="1"/>
    <n v="259.58"/>
    <s v="940 Main St"/>
    <s v="Debit Card"/>
    <x v="0"/>
    <s v="Instagram"/>
    <n v="519.16"/>
  </r>
  <r>
    <s v="ORD200748"/>
    <x v="745"/>
    <x v="2"/>
    <x v="4"/>
    <n v="70.81"/>
    <s v="249 Main St"/>
    <s v="Credit Card"/>
    <x v="2"/>
    <s v="Referral"/>
    <n v="212.43"/>
  </r>
  <r>
    <s v="ORD200749"/>
    <x v="746"/>
    <x v="5"/>
    <x v="2"/>
    <n v="518.39"/>
    <s v="997 Main St"/>
    <s v="Debit Card"/>
    <x v="4"/>
    <s v="Instagram"/>
    <n v="518.39"/>
  </r>
  <r>
    <s v="ORD200750"/>
    <x v="747"/>
    <x v="2"/>
    <x v="3"/>
    <n v="145.41"/>
    <s v="637 Main St"/>
    <s v="Credit Card"/>
    <x v="0"/>
    <s v="Email"/>
    <n v="581.64"/>
  </r>
  <r>
    <s v="ORD200751"/>
    <x v="748"/>
    <x v="2"/>
    <x v="1"/>
    <n v="599.86"/>
    <s v="455 Main St"/>
    <s v="Gift Card"/>
    <x v="0"/>
    <s v="Facebook"/>
    <n v="1199.72"/>
  </r>
  <r>
    <s v="ORD200752"/>
    <x v="749"/>
    <x v="1"/>
    <x v="3"/>
    <n v="429.37"/>
    <s v="299 Main St"/>
    <s v="Credit Card"/>
    <x v="2"/>
    <s v="Google"/>
    <n v="1717.48"/>
  </r>
  <r>
    <s v="ORD200753"/>
    <x v="750"/>
    <x v="1"/>
    <x v="1"/>
    <n v="241.49"/>
    <s v="864 Main St"/>
    <s v="Debit Card"/>
    <x v="0"/>
    <s v="Instagram"/>
    <n v="482.98"/>
  </r>
  <r>
    <s v="ORD200754"/>
    <x v="751"/>
    <x v="4"/>
    <x v="1"/>
    <n v="452.05"/>
    <s v="983 Main St"/>
    <s v="Credit Card"/>
    <x v="1"/>
    <s v="Email"/>
    <n v="904.1"/>
  </r>
  <r>
    <s v="ORD200755"/>
    <x v="752"/>
    <x v="6"/>
    <x v="4"/>
    <n v="336.71"/>
    <s v="658 Main St"/>
    <s v="Credit Card"/>
    <x v="4"/>
    <s v="Email"/>
    <n v="1010.13"/>
  </r>
  <r>
    <s v="ORD200756"/>
    <x v="753"/>
    <x v="1"/>
    <x v="2"/>
    <n v="283.69"/>
    <s v="202 Main St"/>
    <s v="Gift Card"/>
    <x v="5"/>
    <s v="Google"/>
    <n v="283.69"/>
  </r>
  <r>
    <s v="ORD200757"/>
    <x v="754"/>
    <x v="6"/>
    <x v="2"/>
    <n v="157.72"/>
    <s v="597 Main St"/>
    <s v="Debit Card"/>
    <x v="7"/>
    <s v="Google"/>
    <n v="157.72"/>
  </r>
  <r>
    <s v="ORD200758"/>
    <x v="755"/>
    <x v="2"/>
    <x v="4"/>
    <n v="624.84"/>
    <s v="917 Main St"/>
    <s v="Credit Card"/>
    <x v="2"/>
    <s v="Facebook"/>
    <n v="1874.52"/>
  </r>
  <r>
    <s v="ORD200759"/>
    <x v="756"/>
    <x v="6"/>
    <x v="4"/>
    <n v="308.01"/>
    <s v="366 Main St"/>
    <s v="Cash"/>
    <x v="1"/>
    <s v="Facebook"/>
    <n v="924.03"/>
  </r>
  <r>
    <s v="ORD200760"/>
    <x v="757"/>
    <x v="6"/>
    <x v="2"/>
    <n v="39.56"/>
    <s v="283 Main St"/>
    <s v="Debit Card"/>
    <x v="3"/>
    <s v="Google"/>
    <n v="39.56"/>
  </r>
  <r>
    <s v="ORD200761"/>
    <x v="758"/>
    <x v="6"/>
    <x v="3"/>
    <n v="37.76"/>
    <s v="217 Main St"/>
    <s v="Debit Card"/>
    <x v="0"/>
    <s v="Google"/>
    <n v="151.04"/>
  </r>
  <r>
    <s v="ORD200762"/>
    <x v="759"/>
    <x v="1"/>
    <x v="4"/>
    <n v="76.959999999999994"/>
    <s v="611 Main St"/>
    <s v="Cash"/>
    <x v="2"/>
    <s v="Email"/>
    <n v="230.88"/>
  </r>
  <r>
    <s v="ORD200763"/>
    <x v="760"/>
    <x v="5"/>
    <x v="2"/>
    <n v="569.96"/>
    <s v="533 Main St"/>
    <s v="Online"/>
    <x v="4"/>
    <s v="Email"/>
    <n v="569.96"/>
  </r>
  <r>
    <s v="ORD200764"/>
    <x v="761"/>
    <x v="5"/>
    <x v="0"/>
    <n v="627.42999999999995"/>
    <s v="806 Main St"/>
    <s v="Credit Card"/>
    <x v="8"/>
    <s v="Email"/>
    <n v="3137.15"/>
  </r>
  <r>
    <s v="ORD200765"/>
    <x v="762"/>
    <x v="5"/>
    <x v="1"/>
    <n v="534.91"/>
    <s v="281 Main St"/>
    <s v="Debit Card"/>
    <x v="3"/>
    <s v="Google"/>
    <n v="1069.82"/>
  </r>
  <r>
    <s v="ORD200766"/>
    <x v="763"/>
    <x v="4"/>
    <x v="1"/>
    <n v="278.88"/>
    <s v="494 Main St"/>
    <s v="Debit Card"/>
    <x v="1"/>
    <s v="Referral"/>
    <n v="557.76"/>
  </r>
  <r>
    <s v="ORD200767"/>
    <x v="764"/>
    <x v="2"/>
    <x v="1"/>
    <n v="323.22000000000003"/>
    <s v="517 Main St"/>
    <s v="Credit Card"/>
    <x v="0"/>
    <s v="Instagram"/>
    <n v="646.44000000000005"/>
  </r>
  <r>
    <s v="ORD200768"/>
    <x v="765"/>
    <x v="2"/>
    <x v="0"/>
    <n v="653.46"/>
    <s v="165 Main St"/>
    <s v="Cash"/>
    <x v="6"/>
    <s v="Email"/>
    <n v="3267.3"/>
  </r>
  <r>
    <s v="ORD200769"/>
    <x v="766"/>
    <x v="4"/>
    <x v="3"/>
    <n v="678.55"/>
    <s v="568 Main St"/>
    <s v="Cash"/>
    <x v="3"/>
    <s v="Email"/>
    <n v="2714.2"/>
  </r>
  <r>
    <s v="ORD200770"/>
    <x v="767"/>
    <x v="6"/>
    <x v="2"/>
    <n v="314.38"/>
    <s v="227 Main St"/>
    <s v="Online"/>
    <x v="5"/>
    <s v="Google"/>
    <n v="314.38"/>
  </r>
  <r>
    <s v="ORD200771"/>
    <x v="768"/>
    <x v="1"/>
    <x v="4"/>
    <n v="692.44"/>
    <s v="272 Main St"/>
    <s v="Debit Card"/>
    <x v="2"/>
    <s v="Google"/>
    <n v="2077.3200000000002"/>
  </r>
  <r>
    <s v="ORD200772"/>
    <x v="769"/>
    <x v="0"/>
    <x v="2"/>
    <n v="604.87"/>
    <s v="461 Main St"/>
    <s v="Online"/>
    <x v="4"/>
    <s v="Instagram"/>
    <n v="604.87"/>
  </r>
  <r>
    <s v="ORD200773"/>
    <x v="770"/>
    <x v="1"/>
    <x v="1"/>
    <n v="512.33000000000004"/>
    <s v="415 Main St"/>
    <s v="Cash"/>
    <x v="0"/>
    <s v="Facebook"/>
    <n v="1024.6600000000001"/>
  </r>
  <r>
    <s v="ORD200774"/>
    <x v="771"/>
    <x v="3"/>
    <x v="4"/>
    <n v="20.54"/>
    <s v="257 Main St"/>
    <s v="Credit Card"/>
    <x v="1"/>
    <s v="Instagram"/>
    <n v="61.62"/>
  </r>
  <r>
    <s v="ORD200775"/>
    <x v="772"/>
    <x v="1"/>
    <x v="1"/>
    <n v="625.22"/>
    <s v="569 Main St"/>
    <s v="Online"/>
    <x v="3"/>
    <s v="Google"/>
    <n v="1250.44"/>
  </r>
  <r>
    <s v="ORD200776"/>
    <x v="773"/>
    <x v="2"/>
    <x v="2"/>
    <n v="21.19"/>
    <s v="482 Main St"/>
    <s v="Cash"/>
    <x v="3"/>
    <s v="Google"/>
    <n v="21.19"/>
  </r>
  <r>
    <s v="ORD200777"/>
    <x v="774"/>
    <x v="3"/>
    <x v="0"/>
    <n v="64.489999999999995"/>
    <s v="633 Main St"/>
    <s v="Online"/>
    <x v="0"/>
    <s v="Facebook"/>
    <n v="322.45"/>
  </r>
  <r>
    <s v="ORD200778"/>
    <x v="775"/>
    <x v="5"/>
    <x v="3"/>
    <n v="246.85"/>
    <s v="316 Main St"/>
    <s v="Credit Card"/>
    <x v="2"/>
    <s v="Google"/>
    <n v="987.4"/>
  </r>
  <r>
    <s v="ORD200779"/>
    <x v="776"/>
    <x v="1"/>
    <x v="4"/>
    <n v="588.74"/>
    <s v="751 Main St"/>
    <s v="Debit Card"/>
    <x v="2"/>
    <s v="Email"/>
    <n v="1766.22"/>
  </r>
  <r>
    <s v="ORD200780"/>
    <x v="777"/>
    <x v="5"/>
    <x v="3"/>
    <n v="184.48"/>
    <s v="661 Main St"/>
    <s v="Online"/>
    <x v="4"/>
    <s v="Google"/>
    <n v="737.92"/>
  </r>
  <r>
    <s v="ORD200781"/>
    <x v="778"/>
    <x v="1"/>
    <x v="0"/>
    <n v="524.26"/>
    <s v="934 Main St"/>
    <s v="Gift Card"/>
    <x v="3"/>
    <s v="Referral"/>
    <n v="2621.3000000000002"/>
  </r>
  <r>
    <s v="ORD200782"/>
    <x v="779"/>
    <x v="0"/>
    <x v="1"/>
    <n v="493.63"/>
    <s v="167 Main St"/>
    <s v="Online"/>
    <x v="5"/>
    <s v="Referral"/>
    <n v="987.26"/>
  </r>
  <r>
    <s v="ORD200783"/>
    <x v="780"/>
    <x v="4"/>
    <x v="2"/>
    <n v="438.34"/>
    <s v="281 Main St"/>
    <s v="Gift Card"/>
    <x v="3"/>
    <s v="Facebook"/>
    <n v="438.34"/>
  </r>
  <r>
    <s v="ORD200784"/>
    <x v="781"/>
    <x v="5"/>
    <x v="2"/>
    <n v="325.81"/>
    <s v="232 Main St"/>
    <s v="Credit Card"/>
    <x v="9"/>
    <s v="Referral"/>
    <n v="325.81"/>
  </r>
  <r>
    <s v="ORD200785"/>
    <x v="782"/>
    <x v="3"/>
    <x v="2"/>
    <n v="176.1"/>
    <s v="342 Main St"/>
    <s v="Credit Card"/>
    <x v="9"/>
    <s v="Instagram"/>
    <n v="176.1"/>
  </r>
  <r>
    <s v="ORD200786"/>
    <x v="783"/>
    <x v="3"/>
    <x v="0"/>
    <n v="45.31"/>
    <s v="774 Main St"/>
    <s v="Online"/>
    <x v="2"/>
    <s v="Referral"/>
    <n v="226.55"/>
  </r>
  <r>
    <s v="ORD200787"/>
    <x v="784"/>
    <x v="6"/>
    <x v="3"/>
    <n v="221.96"/>
    <s v="193 Main St"/>
    <s v="Cash"/>
    <x v="0"/>
    <s v="Google"/>
    <n v="887.84"/>
  </r>
  <r>
    <s v="ORD200788"/>
    <x v="785"/>
    <x v="3"/>
    <x v="1"/>
    <n v="601.42999999999995"/>
    <s v="761 Main St"/>
    <s v="Online"/>
    <x v="3"/>
    <s v="Instagram"/>
    <n v="1202.8599999999999"/>
  </r>
  <r>
    <s v="ORD200789"/>
    <x v="786"/>
    <x v="2"/>
    <x v="0"/>
    <n v="691.28"/>
    <s v="183 Main St"/>
    <s v="Online"/>
    <x v="8"/>
    <s v="Email"/>
    <n v="3456.4"/>
  </r>
  <r>
    <s v="ORD200790"/>
    <x v="787"/>
    <x v="5"/>
    <x v="3"/>
    <n v="417.89"/>
    <s v="302 Main St"/>
    <s v="Gift Card"/>
    <x v="4"/>
    <s v="Google"/>
    <n v="1671.56"/>
  </r>
  <r>
    <s v="ORD200791"/>
    <x v="788"/>
    <x v="3"/>
    <x v="3"/>
    <n v="409.28"/>
    <s v="956 Main St"/>
    <s v="Cash"/>
    <x v="2"/>
    <s v="Email"/>
    <n v="1637.12"/>
  </r>
  <r>
    <s v="ORD200792"/>
    <x v="789"/>
    <x v="6"/>
    <x v="1"/>
    <n v="356.35"/>
    <s v="746 Main St"/>
    <s v="Debit Card"/>
    <x v="5"/>
    <s v="Facebook"/>
    <n v="712.7"/>
  </r>
  <r>
    <s v="ORD200793"/>
    <x v="790"/>
    <x v="3"/>
    <x v="0"/>
    <n v="170.22"/>
    <s v="769 Main St"/>
    <s v="Debit Card"/>
    <x v="2"/>
    <s v="Referral"/>
    <n v="851.1"/>
  </r>
  <r>
    <s v="ORD200794"/>
    <x v="791"/>
    <x v="4"/>
    <x v="3"/>
    <n v="384.85"/>
    <s v="988 Main St"/>
    <s v="Online"/>
    <x v="6"/>
    <s v="Instagram"/>
    <n v="1539.4"/>
  </r>
  <r>
    <s v="ORD200795"/>
    <x v="792"/>
    <x v="5"/>
    <x v="3"/>
    <n v="115.77"/>
    <s v="586 Main St"/>
    <s v="Online"/>
    <x v="0"/>
    <s v="Instagram"/>
    <n v="463.08"/>
  </r>
  <r>
    <s v="ORD200796"/>
    <x v="793"/>
    <x v="1"/>
    <x v="4"/>
    <n v="579.54999999999995"/>
    <s v="882 Main St"/>
    <s v="Gift Card"/>
    <x v="2"/>
    <s v="Facebook"/>
    <n v="1738.65"/>
  </r>
  <r>
    <s v="ORD200797"/>
    <x v="794"/>
    <x v="5"/>
    <x v="1"/>
    <n v="438.76"/>
    <s v="426 Main St"/>
    <s v="Debit Card"/>
    <x v="7"/>
    <s v="Facebook"/>
    <n v="877.52"/>
  </r>
  <r>
    <s v="ORD200798"/>
    <x v="795"/>
    <x v="1"/>
    <x v="0"/>
    <n v="488.35"/>
    <s v="968 Main St"/>
    <s v="Debit Card"/>
    <x v="6"/>
    <s v="Email"/>
    <n v="2441.75"/>
  </r>
  <r>
    <s v="ORD200799"/>
    <x v="796"/>
    <x v="5"/>
    <x v="3"/>
    <n v="328.56"/>
    <s v="803 Main St"/>
    <s v="Debit Card"/>
    <x v="4"/>
    <s v="Email"/>
    <n v="1314.24"/>
  </r>
  <r>
    <s v="ORD200800"/>
    <x v="797"/>
    <x v="2"/>
    <x v="2"/>
    <n v="68.39"/>
    <s v="412 Main St"/>
    <s v="Online"/>
    <x v="1"/>
    <s v="Facebook"/>
    <n v="68.39"/>
  </r>
  <r>
    <s v="ORD200801"/>
    <x v="27"/>
    <x v="4"/>
    <x v="3"/>
    <n v="595.62"/>
    <s v="738 Main St"/>
    <s v="Debit Card"/>
    <x v="2"/>
    <s v="Facebook"/>
    <n v="2382.48"/>
  </r>
  <r>
    <s v="ORD200802"/>
    <x v="798"/>
    <x v="3"/>
    <x v="0"/>
    <n v="644.64"/>
    <s v="205 Main St"/>
    <s v="Gift Card"/>
    <x v="5"/>
    <s v="Email"/>
    <n v="3223.2"/>
  </r>
  <r>
    <s v="ORD200803"/>
    <x v="799"/>
    <x v="0"/>
    <x v="0"/>
    <n v="397.81"/>
    <s v="223 Main St"/>
    <s v="Debit Card"/>
    <x v="3"/>
    <s v="Referral"/>
    <n v="1989.05"/>
  </r>
  <r>
    <s v="ORD200804"/>
    <x v="800"/>
    <x v="3"/>
    <x v="4"/>
    <n v="236.5"/>
    <s v="916 Main St"/>
    <s v="Online"/>
    <x v="2"/>
    <s v="Email"/>
    <n v="709.5"/>
  </r>
  <r>
    <s v="ORD200805"/>
    <x v="801"/>
    <x v="5"/>
    <x v="0"/>
    <n v="472.01"/>
    <s v="178 Main St"/>
    <s v="Gift Card"/>
    <x v="8"/>
    <s v="Email"/>
    <n v="2360.0500000000002"/>
  </r>
  <r>
    <s v="ORD200806"/>
    <x v="802"/>
    <x v="3"/>
    <x v="0"/>
    <n v="253.75"/>
    <s v="740 Main St"/>
    <s v="Online"/>
    <x v="6"/>
    <s v="Instagram"/>
    <n v="1268.75"/>
  </r>
  <r>
    <s v="ORD200807"/>
    <x v="803"/>
    <x v="0"/>
    <x v="4"/>
    <n v="676.21"/>
    <s v="260 Main St"/>
    <s v="Online"/>
    <x v="3"/>
    <s v="Google"/>
    <n v="2028.63"/>
  </r>
  <r>
    <s v="ORD200808"/>
    <x v="804"/>
    <x v="6"/>
    <x v="4"/>
    <n v="134.05000000000001"/>
    <s v="192 Main St"/>
    <s v="Credit Card"/>
    <x v="1"/>
    <s v="Google"/>
    <n v="402.15"/>
  </r>
  <r>
    <s v="ORD200809"/>
    <x v="805"/>
    <x v="6"/>
    <x v="0"/>
    <n v="217.43"/>
    <s v="752 Main St"/>
    <s v="Debit Card"/>
    <x v="8"/>
    <s v="Instagram"/>
    <n v="1087.1500000000001"/>
  </r>
  <r>
    <s v="ORD200810"/>
    <x v="806"/>
    <x v="2"/>
    <x v="2"/>
    <n v="553.55999999999995"/>
    <s v="644 Main St"/>
    <s v="Credit Card"/>
    <x v="3"/>
    <s v="Referral"/>
    <n v="553.55999999999995"/>
  </r>
  <r>
    <s v="ORD200811"/>
    <x v="807"/>
    <x v="5"/>
    <x v="1"/>
    <n v="28.55"/>
    <s v="864 Main St"/>
    <s v="Gift Card"/>
    <x v="0"/>
    <s v="Email"/>
    <n v="57.1"/>
  </r>
  <r>
    <s v="ORD200812"/>
    <x v="808"/>
    <x v="1"/>
    <x v="1"/>
    <n v="255.26"/>
    <s v="803 Main St"/>
    <s v="Credit Card"/>
    <x v="5"/>
    <s v="Google"/>
    <n v="510.52"/>
  </r>
  <r>
    <s v="ORD200813"/>
    <x v="809"/>
    <x v="5"/>
    <x v="0"/>
    <n v="292.54000000000002"/>
    <s v="263 Main St"/>
    <s v="Debit Card"/>
    <x v="2"/>
    <s v="Email"/>
    <n v="1462.7"/>
  </r>
  <r>
    <s v="ORD200814"/>
    <x v="810"/>
    <x v="3"/>
    <x v="3"/>
    <n v="147.51"/>
    <s v="979 Main St"/>
    <s v="Debit Card"/>
    <x v="4"/>
    <s v="Instagram"/>
    <n v="590.04"/>
  </r>
  <r>
    <s v="ORD200815"/>
    <x v="811"/>
    <x v="4"/>
    <x v="4"/>
    <n v="569.84"/>
    <s v="920 Main St"/>
    <s v="Gift Card"/>
    <x v="2"/>
    <s v="Instagram"/>
    <n v="1709.52"/>
  </r>
  <r>
    <s v="ORD200816"/>
    <x v="812"/>
    <x v="2"/>
    <x v="0"/>
    <n v="574.79"/>
    <s v="497 Main St"/>
    <s v="Credit Card"/>
    <x v="2"/>
    <s v="Referral"/>
    <n v="2873.95"/>
  </r>
  <r>
    <s v="ORD200817"/>
    <x v="813"/>
    <x v="3"/>
    <x v="3"/>
    <n v="598.19000000000005"/>
    <s v="430 Main St"/>
    <s v="Credit Card"/>
    <x v="0"/>
    <s v="Email"/>
    <n v="2392.7600000000002"/>
  </r>
  <r>
    <s v="ORD200818"/>
    <x v="814"/>
    <x v="1"/>
    <x v="3"/>
    <n v="390.84"/>
    <s v="860 Main St"/>
    <s v="Credit Card"/>
    <x v="6"/>
    <s v="Referral"/>
    <n v="1563.36"/>
  </r>
  <r>
    <s v="ORD200819"/>
    <x v="815"/>
    <x v="1"/>
    <x v="1"/>
    <n v="398.45"/>
    <s v="650 Main St"/>
    <s v="Debit Card"/>
    <x v="0"/>
    <s v="Google"/>
    <n v="796.9"/>
  </r>
  <r>
    <s v="ORD200820"/>
    <x v="816"/>
    <x v="1"/>
    <x v="0"/>
    <n v="623.80999999999995"/>
    <s v="171 Main St"/>
    <s v="Cash"/>
    <x v="5"/>
    <s v="Email"/>
    <n v="3119.05"/>
  </r>
  <r>
    <s v="ORD200821"/>
    <x v="817"/>
    <x v="5"/>
    <x v="3"/>
    <n v="174.49"/>
    <s v="259 Main St"/>
    <s v="Credit Card"/>
    <x v="3"/>
    <s v="Facebook"/>
    <n v="697.96"/>
  </r>
  <r>
    <s v="ORD200822"/>
    <x v="818"/>
    <x v="1"/>
    <x v="2"/>
    <n v="479.56"/>
    <s v="923 Main St"/>
    <s v="Gift Card"/>
    <x v="9"/>
    <s v="Google"/>
    <n v="479.56"/>
  </r>
  <r>
    <s v="ORD200823"/>
    <x v="819"/>
    <x v="5"/>
    <x v="3"/>
    <n v="653.13"/>
    <s v="973 Main St"/>
    <s v="Credit Card"/>
    <x v="2"/>
    <s v="Instagram"/>
    <n v="2612.52"/>
  </r>
  <r>
    <s v="ORD200824"/>
    <x v="820"/>
    <x v="0"/>
    <x v="4"/>
    <n v="481.1"/>
    <s v="664 Main St"/>
    <s v="Credit Card"/>
    <x v="1"/>
    <s v="Facebook"/>
    <n v="1443.3"/>
  </r>
  <r>
    <s v="ORD200825"/>
    <x v="821"/>
    <x v="6"/>
    <x v="0"/>
    <n v="271.69"/>
    <s v="543 Main St"/>
    <s v="Online"/>
    <x v="0"/>
    <s v="Instagram"/>
    <n v="1358.45"/>
  </r>
  <r>
    <s v="ORD200826"/>
    <x v="822"/>
    <x v="4"/>
    <x v="4"/>
    <n v="463.81"/>
    <s v="283 Main St"/>
    <s v="Online"/>
    <x v="2"/>
    <s v="Email"/>
    <n v="1391.43"/>
  </r>
  <r>
    <s v="ORD200827"/>
    <x v="823"/>
    <x v="2"/>
    <x v="1"/>
    <n v="639.88"/>
    <s v="432 Main St"/>
    <s v="Cash"/>
    <x v="3"/>
    <s v="Instagram"/>
    <n v="1279.76"/>
  </r>
  <r>
    <s v="ORD200828"/>
    <x v="824"/>
    <x v="3"/>
    <x v="3"/>
    <n v="404.58"/>
    <s v="510 Main St"/>
    <s v="Cash"/>
    <x v="3"/>
    <s v="Instagram"/>
    <n v="1618.32"/>
  </r>
  <r>
    <s v="ORD200829"/>
    <x v="825"/>
    <x v="0"/>
    <x v="2"/>
    <n v="76.930000000000007"/>
    <s v="685 Main St"/>
    <s v="Debit Card"/>
    <x v="5"/>
    <s v="Instagram"/>
    <n v="76.930000000000007"/>
  </r>
  <r>
    <s v="ORD200830"/>
    <x v="826"/>
    <x v="2"/>
    <x v="3"/>
    <n v="190.64"/>
    <s v="853 Main St"/>
    <s v="Cash"/>
    <x v="3"/>
    <s v="Email"/>
    <n v="762.56"/>
  </r>
  <r>
    <s v="ORD200831"/>
    <x v="827"/>
    <x v="4"/>
    <x v="1"/>
    <n v="88.73"/>
    <s v="140 Main St"/>
    <s v="Online"/>
    <x v="3"/>
    <s v="Google"/>
    <n v="177.46"/>
  </r>
  <r>
    <s v="ORD200832"/>
    <x v="828"/>
    <x v="3"/>
    <x v="0"/>
    <n v="485.71"/>
    <s v="903 Main St"/>
    <s v="Online"/>
    <x v="8"/>
    <s v="Referral"/>
    <n v="2428.5500000000002"/>
  </r>
  <r>
    <s v="ORD200833"/>
    <x v="829"/>
    <x v="1"/>
    <x v="0"/>
    <n v="78.290000000000006"/>
    <s v="508 Main St"/>
    <s v="Credit Card"/>
    <x v="3"/>
    <s v="Referral"/>
    <n v="391.45"/>
  </r>
  <r>
    <s v="ORD200834"/>
    <x v="830"/>
    <x v="4"/>
    <x v="0"/>
    <n v="22.14"/>
    <s v="456 Main St"/>
    <s v="Cash"/>
    <x v="8"/>
    <s v="Instagram"/>
    <n v="110.7"/>
  </r>
  <r>
    <s v="ORD200835"/>
    <x v="831"/>
    <x v="6"/>
    <x v="2"/>
    <n v="679.65"/>
    <s v="390 Main St"/>
    <s v="Debit Card"/>
    <x v="5"/>
    <s v="Google"/>
    <n v="679.65"/>
  </r>
  <r>
    <s v="ORD200836"/>
    <x v="832"/>
    <x v="1"/>
    <x v="2"/>
    <n v="178.44"/>
    <s v="328 Main St"/>
    <s v="Credit Card"/>
    <x v="7"/>
    <s v="Google"/>
    <n v="178.44"/>
  </r>
  <r>
    <s v="ORD200837"/>
    <x v="833"/>
    <x v="3"/>
    <x v="0"/>
    <n v="655.55"/>
    <s v="282 Main St"/>
    <s v="Online"/>
    <x v="3"/>
    <s v="Email"/>
    <n v="3277.75"/>
  </r>
  <r>
    <s v="ORD200838"/>
    <x v="834"/>
    <x v="6"/>
    <x v="3"/>
    <n v="577.08000000000004"/>
    <s v="384 Main St"/>
    <s v="Online"/>
    <x v="2"/>
    <s v="Facebook"/>
    <n v="2308.3200000000002"/>
  </r>
  <r>
    <s v="ORD200839"/>
    <x v="835"/>
    <x v="3"/>
    <x v="4"/>
    <n v="197.97"/>
    <s v="551 Main St"/>
    <s v="Online"/>
    <x v="3"/>
    <s v="Google"/>
    <n v="593.91"/>
  </r>
  <r>
    <s v="ORD200840"/>
    <x v="836"/>
    <x v="3"/>
    <x v="4"/>
    <n v="411.95"/>
    <s v="672 Main St"/>
    <s v="Credit Card"/>
    <x v="0"/>
    <s v="Referral"/>
    <n v="1235.8499999999999"/>
  </r>
  <r>
    <s v="ORD200841"/>
    <x v="837"/>
    <x v="4"/>
    <x v="1"/>
    <n v="443.22"/>
    <s v="742 Main St"/>
    <s v="Credit Card"/>
    <x v="3"/>
    <s v="Facebook"/>
    <n v="886.44"/>
  </r>
  <r>
    <s v="ORD200842"/>
    <x v="838"/>
    <x v="5"/>
    <x v="4"/>
    <n v="364.14"/>
    <s v="396 Main St"/>
    <s v="Online"/>
    <x v="0"/>
    <s v="Referral"/>
    <n v="1092.42"/>
  </r>
  <r>
    <s v="ORD200843"/>
    <x v="839"/>
    <x v="6"/>
    <x v="4"/>
    <n v="430.06"/>
    <s v="534 Main St"/>
    <s v="Gift Card"/>
    <x v="2"/>
    <s v="Instagram"/>
    <n v="1290.18"/>
  </r>
  <r>
    <s v="ORD200844"/>
    <x v="840"/>
    <x v="3"/>
    <x v="2"/>
    <n v="320.92"/>
    <s v="883 Main St"/>
    <s v="Online"/>
    <x v="3"/>
    <s v="Facebook"/>
    <n v="320.92"/>
  </r>
  <r>
    <s v="ORD200845"/>
    <x v="841"/>
    <x v="1"/>
    <x v="4"/>
    <n v="107.36"/>
    <s v="808 Main St"/>
    <s v="Gift Card"/>
    <x v="3"/>
    <s v="Google"/>
    <n v="322.08"/>
  </r>
  <r>
    <s v="ORD200846"/>
    <x v="842"/>
    <x v="6"/>
    <x v="1"/>
    <n v="359.86"/>
    <s v="646 Main St"/>
    <s v="Debit Card"/>
    <x v="4"/>
    <s v="Referral"/>
    <n v="719.72"/>
  </r>
  <r>
    <s v="ORD200847"/>
    <x v="843"/>
    <x v="4"/>
    <x v="3"/>
    <n v="434.23"/>
    <s v="670 Main St"/>
    <s v="Online"/>
    <x v="2"/>
    <s v="Email"/>
    <n v="1736.92"/>
  </r>
  <r>
    <s v="ORD200848"/>
    <x v="844"/>
    <x v="3"/>
    <x v="1"/>
    <n v="645.85"/>
    <s v="634 Main St"/>
    <s v="Online"/>
    <x v="3"/>
    <s v="Referral"/>
    <n v="1291.7"/>
  </r>
  <r>
    <s v="ORD200849"/>
    <x v="845"/>
    <x v="4"/>
    <x v="3"/>
    <n v="214.35"/>
    <s v="664 Main St"/>
    <s v="Debit Card"/>
    <x v="0"/>
    <s v="Referral"/>
    <n v="857.4"/>
  </r>
  <r>
    <s v="ORD200850"/>
    <x v="846"/>
    <x v="0"/>
    <x v="4"/>
    <n v="638.5"/>
    <s v="890 Main St"/>
    <s v="Debit Card"/>
    <x v="4"/>
    <s v="Instagram"/>
    <n v="1915.5"/>
  </r>
  <r>
    <s v="ORD200851"/>
    <x v="847"/>
    <x v="5"/>
    <x v="2"/>
    <n v="365.57"/>
    <s v="146 Main St"/>
    <s v="Online"/>
    <x v="3"/>
    <s v="Email"/>
    <n v="365.57"/>
  </r>
  <r>
    <s v="ORD200852"/>
    <x v="848"/>
    <x v="6"/>
    <x v="4"/>
    <n v="568.04999999999995"/>
    <s v="618 Main St"/>
    <s v="Gift Card"/>
    <x v="5"/>
    <s v="Google"/>
    <n v="1704.15"/>
  </r>
  <r>
    <s v="ORD200853"/>
    <x v="849"/>
    <x v="4"/>
    <x v="4"/>
    <n v="490.01"/>
    <s v="894 Main St"/>
    <s v="Cash"/>
    <x v="4"/>
    <s v="Facebook"/>
    <n v="1470.03"/>
  </r>
  <r>
    <s v="ORD200854"/>
    <x v="850"/>
    <x v="5"/>
    <x v="4"/>
    <n v="372.6"/>
    <s v="356 Main St"/>
    <s v="Credit Card"/>
    <x v="0"/>
    <s v="Referral"/>
    <n v="1117.8"/>
  </r>
  <r>
    <s v="ORD200855"/>
    <x v="851"/>
    <x v="0"/>
    <x v="0"/>
    <n v="240.61"/>
    <s v="785 Main St"/>
    <s v="Credit Card"/>
    <x v="8"/>
    <s v="Email"/>
    <n v="1203.05"/>
  </r>
  <r>
    <s v="ORD200856"/>
    <x v="852"/>
    <x v="1"/>
    <x v="2"/>
    <n v="586.62"/>
    <s v="871 Main St"/>
    <s v="Debit Card"/>
    <x v="3"/>
    <s v="Facebook"/>
    <n v="586.62"/>
  </r>
  <r>
    <s v="ORD200857"/>
    <x v="853"/>
    <x v="1"/>
    <x v="4"/>
    <n v="257.83999999999997"/>
    <s v="185 Main St"/>
    <s v="Online"/>
    <x v="4"/>
    <s v="Instagram"/>
    <n v="773.52"/>
  </r>
  <r>
    <s v="ORD200858"/>
    <x v="854"/>
    <x v="2"/>
    <x v="0"/>
    <n v="435.66"/>
    <s v="891 Main St"/>
    <s v="Online"/>
    <x v="6"/>
    <s v="Facebook"/>
    <n v="2178.3000000000002"/>
  </r>
  <r>
    <s v="ORD200859"/>
    <x v="855"/>
    <x v="3"/>
    <x v="0"/>
    <n v="261.33"/>
    <s v="154 Main St"/>
    <s v="Credit Card"/>
    <x v="3"/>
    <s v="Referral"/>
    <n v="1306.6500000000001"/>
  </r>
  <r>
    <s v="ORD200860"/>
    <x v="856"/>
    <x v="4"/>
    <x v="2"/>
    <n v="422.54"/>
    <s v="876 Main St"/>
    <s v="Cash"/>
    <x v="9"/>
    <s v="Google"/>
    <n v="422.54"/>
  </r>
  <r>
    <s v="ORD200861"/>
    <x v="857"/>
    <x v="6"/>
    <x v="0"/>
    <n v="330.45"/>
    <s v="230 Main St"/>
    <s v="Gift Card"/>
    <x v="8"/>
    <s v="Google"/>
    <n v="1652.25"/>
  </r>
  <r>
    <s v="ORD200862"/>
    <x v="858"/>
    <x v="6"/>
    <x v="4"/>
    <n v="120.82"/>
    <s v="799 Main St"/>
    <s v="Credit Card"/>
    <x v="3"/>
    <s v="Referral"/>
    <n v="362.46"/>
  </r>
  <r>
    <s v="ORD200863"/>
    <x v="859"/>
    <x v="1"/>
    <x v="2"/>
    <n v="14.06"/>
    <s v="471 Main St"/>
    <s v="Credit Card"/>
    <x v="3"/>
    <s v="Referral"/>
    <n v="14.06"/>
  </r>
  <r>
    <s v="ORD200864"/>
    <x v="860"/>
    <x v="6"/>
    <x v="2"/>
    <n v="491.11"/>
    <s v="592 Main St"/>
    <s v="Credit Card"/>
    <x v="4"/>
    <s v="Facebook"/>
    <n v="491.11"/>
  </r>
  <r>
    <s v="ORD200865"/>
    <x v="861"/>
    <x v="0"/>
    <x v="3"/>
    <n v="677.37"/>
    <s v="156 Main St"/>
    <s v="Cash"/>
    <x v="2"/>
    <s v="Google"/>
    <n v="2709.48"/>
  </r>
  <r>
    <s v="ORD200866"/>
    <x v="862"/>
    <x v="6"/>
    <x v="0"/>
    <n v="189.25"/>
    <s v="693 Main St"/>
    <s v="Debit Card"/>
    <x v="8"/>
    <s v="Email"/>
    <n v="946.25"/>
  </r>
  <r>
    <s v="ORD200867"/>
    <x v="863"/>
    <x v="4"/>
    <x v="3"/>
    <n v="142.58000000000001"/>
    <s v="351 Main St"/>
    <s v="Cash"/>
    <x v="4"/>
    <s v="Facebook"/>
    <n v="570.32000000000005"/>
  </r>
  <r>
    <s v="ORD200868"/>
    <x v="864"/>
    <x v="0"/>
    <x v="3"/>
    <n v="316.32"/>
    <s v="309 Main St"/>
    <s v="Debit Card"/>
    <x v="0"/>
    <s v="Facebook"/>
    <n v="1265.28"/>
  </r>
  <r>
    <s v="ORD200869"/>
    <x v="865"/>
    <x v="6"/>
    <x v="1"/>
    <n v="533.95000000000005"/>
    <s v="790 Main St"/>
    <s v="Online"/>
    <x v="3"/>
    <s v="Google"/>
    <n v="1067.9000000000001"/>
  </r>
  <r>
    <s v="ORD200870"/>
    <x v="866"/>
    <x v="1"/>
    <x v="3"/>
    <n v="470.09"/>
    <s v="541 Main St"/>
    <s v="Debit Card"/>
    <x v="4"/>
    <s v="Google"/>
    <n v="1880.36"/>
  </r>
  <r>
    <s v="ORD200871"/>
    <x v="867"/>
    <x v="2"/>
    <x v="4"/>
    <n v="324.3"/>
    <s v="720 Main St"/>
    <s v="Debit Card"/>
    <x v="2"/>
    <s v="Email"/>
    <n v="972.90000000000009"/>
  </r>
  <r>
    <s v="ORD200872"/>
    <x v="868"/>
    <x v="3"/>
    <x v="3"/>
    <n v="629.34"/>
    <s v="172 Main St"/>
    <s v="Cash"/>
    <x v="0"/>
    <s v="Email"/>
    <n v="2517.36"/>
  </r>
  <r>
    <s v="ORD200873"/>
    <x v="869"/>
    <x v="6"/>
    <x v="4"/>
    <n v="136.84"/>
    <s v="448 Main St"/>
    <s v="Cash"/>
    <x v="1"/>
    <s v="Facebook"/>
    <n v="410.52"/>
  </r>
  <r>
    <s v="ORD200874"/>
    <x v="870"/>
    <x v="3"/>
    <x v="1"/>
    <n v="488.9"/>
    <s v="632 Main St"/>
    <s v="Cash"/>
    <x v="0"/>
    <s v="Facebook"/>
    <n v="977.8"/>
  </r>
  <r>
    <s v="ORD200875"/>
    <x v="871"/>
    <x v="5"/>
    <x v="0"/>
    <n v="133.38999999999999"/>
    <s v="203 Main St"/>
    <s v="Credit Card"/>
    <x v="5"/>
    <s v="Referral"/>
    <n v="666.94999999999993"/>
  </r>
  <r>
    <s v="ORD200876"/>
    <x v="872"/>
    <x v="3"/>
    <x v="0"/>
    <n v="608.91"/>
    <s v="200 Main St"/>
    <s v="Gift Card"/>
    <x v="5"/>
    <s v="Google"/>
    <n v="3044.55"/>
  </r>
  <r>
    <s v="ORD200877"/>
    <x v="873"/>
    <x v="2"/>
    <x v="2"/>
    <n v="524.05999999999995"/>
    <s v="269 Main St"/>
    <s v="Debit Card"/>
    <x v="1"/>
    <s v="Email"/>
    <n v="524.05999999999995"/>
  </r>
  <r>
    <s v="ORD200878"/>
    <x v="874"/>
    <x v="6"/>
    <x v="1"/>
    <n v="330.69"/>
    <s v="393 Main St"/>
    <s v="Online"/>
    <x v="3"/>
    <s v="Google"/>
    <n v="661.38"/>
  </r>
  <r>
    <s v="ORD200879"/>
    <x v="875"/>
    <x v="1"/>
    <x v="1"/>
    <n v="547.66999999999996"/>
    <s v="932 Main St"/>
    <s v="Gift Card"/>
    <x v="1"/>
    <s v="Instagram"/>
    <n v="1095.3399999999999"/>
  </r>
  <r>
    <s v="ORD200880"/>
    <x v="876"/>
    <x v="5"/>
    <x v="3"/>
    <n v="233.7"/>
    <s v="506 Main St"/>
    <s v="Online"/>
    <x v="2"/>
    <s v="Facebook"/>
    <n v="934.8"/>
  </r>
  <r>
    <s v="ORD200881"/>
    <x v="877"/>
    <x v="2"/>
    <x v="1"/>
    <n v="448.85"/>
    <s v="386 Main St"/>
    <s v="Credit Card"/>
    <x v="5"/>
    <s v="Instagram"/>
    <n v="897.7"/>
  </r>
  <r>
    <s v="ORD200882"/>
    <x v="878"/>
    <x v="1"/>
    <x v="1"/>
    <n v="274.12"/>
    <s v="533 Main St"/>
    <s v="Cash"/>
    <x v="5"/>
    <s v="Referral"/>
    <n v="548.24"/>
  </r>
  <r>
    <s v="ORD200883"/>
    <x v="879"/>
    <x v="4"/>
    <x v="0"/>
    <n v="561.48"/>
    <s v="451 Main St"/>
    <s v="Online"/>
    <x v="6"/>
    <s v="Facebook"/>
    <n v="2807.4"/>
  </r>
  <r>
    <s v="ORD200884"/>
    <x v="880"/>
    <x v="3"/>
    <x v="2"/>
    <n v="595.54"/>
    <s v="817 Main St"/>
    <s v="Gift Card"/>
    <x v="4"/>
    <s v="Instagram"/>
    <n v="595.54"/>
  </r>
  <r>
    <s v="ORD200885"/>
    <x v="881"/>
    <x v="5"/>
    <x v="3"/>
    <n v="515.59"/>
    <s v="387 Main St"/>
    <s v="Credit Card"/>
    <x v="0"/>
    <s v="Google"/>
    <n v="2062.36"/>
  </r>
  <r>
    <s v="ORD200886"/>
    <x v="882"/>
    <x v="1"/>
    <x v="2"/>
    <n v="460.13"/>
    <s v="792 Main St"/>
    <s v="Credit Card"/>
    <x v="9"/>
    <s v="Google"/>
    <n v="460.13"/>
  </r>
  <r>
    <s v="ORD200887"/>
    <x v="883"/>
    <x v="3"/>
    <x v="4"/>
    <n v="171.66"/>
    <s v="857 Main St"/>
    <s v="Debit Card"/>
    <x v="0"/>
    <s v="Google"/>
    <n v="514.98"/>
  </r>
  <r>
    <s v="ORD200888"/>
    <x v="884"/>
    <x v="5"/>
    <x v="1"/>
    <n v="266.95"/>
    <s v="833 Main St"/>
    <s v="Credit Card"/>
    <x v="1"/>
    <s v="Instagram"/>
    <n v="533.9"/>
  </r>
  <r>
    <s v="ORD200889"/>
    <x v="885"/>
    <x v="0"/>
    <x v="0"/>
    <n v="650.72"/>
    <s v="350 Main St"/>
    <s v="Credit Card"/>
    <x v="2"/>
    <s v="Email"/>
    <n v="3253.6"/>
  </r>
  <r>
    <s v="ORD200890"/>
    <x v="886"/>
    <x v="5"/>
    <x v="4"/>
    <n v="439.53"/>
    <s v="943 Main St"/>
    <s v="Debit Card"/>
    <x v="3"/>
    <s v="Google"/>
    <n v="1318.59"/>
  </r>
  <r>
    <s v="ORD200891"/>
    <x v="887"/>
    <x v="0"/>
    <x v="4"/>
    <n v="654.54"/>
    <s v="918 Main St"/>
    <s v="Cash"/>
    <x v="0"/>
    <s v="Referral"/>
    <n v="1963.62"/>
  </r>
  <r>
    <s v="ORD200892"/>
    <x v="888"/>
    <x v="6"/>
    <x v="2"/>
    <n v="394.53"/>
    <s v="480 Main St"/>
    <s v="Cash"/>
    <x v="7"/>
    <s v="Referral"/>
    <n v="394.53"/>
  </r>
  <r>
    <s v="ORD200893"/>
    <x v="889"/>
    <x v="0"/>
    <x v="2"/>
    <n v="678.01"/>
    <s v="696 Main St"/>
    <s v="Cash"/>
    <x v="4"/>
    <s v="Referral"/>
    <n v="678.01"/>
  </r>
  <r>
    <s v="ORD200894"/>
    <x v="890"/>
    <x v="2"/>
    <x v="4"/>
    <n v="575.01"/>
    <s v="852 Main St"/>
    <s v="Online"/>
    <x v="2"/>
    <s v="Instagram"/>
    <n v="1725.03"/>
  </r>
  <r>
    <s v="ORD200895"/>
    <x v="891"/>
    <x v="3"/>
    <x v="4"/>
    <n v="154.63999999999999"/>
    <s v="832 Main St"/>
    <s v="Debit Card"/>
    <x v="5"/>
    <s v="Facebook"/>
    <n v="463.92"/>
  </r>
  <r>
    <s v="ORD200896"/>
    <x v="892"/>
    <x v="6"/>
    <x v="4"/>
    <n v="147.29"/>
    <s v="102 Main St"/>
    <s v="Gift Card"/>
    <x v="1"/>
    <s v="Google"/>
    <n v="441.87"/>
  </r>
  <r>
    <s v="ORD200897"/>
    <x v="893"/>
    <x v="5"/>
    <x v="3"/>
    <n v="481.48"/>
    <s v="358 Main St"/>
    <s v="Gift Card"/>
    <x v="3"/>
    <s v="Instagram"/>
    <n v="1925.92"/>
  </r>
  <r>
    <s v="ORD200898"/>
    <x v="894"/>
    <x v="0"/>
    <x v="4"/>
    <n v="158.37"/>
    <s v="742 Main St"/>
    <s v="Cash"/>
    <x v="5"/>
    <s v="Referral"/>
    <n v="475.11"/>
  </r>
  <r>
    <s v="ORD200899"/>
    <x v="895"/>
    <x v="4"/>
    <x v="1"/>
    <n v="323.37"/>
    <s v="552 Main St"/>
    <s v="Online"/>
    <x v="1"/>
    <s v="Instagram"/>
    <n v="646.74"/>
  </r>
  <r>
    <s v="ORD200900"/>
    <x v="896"/>
    <x v="5"/>
    <x v="0"/>
    <n v="73.83"/>
    <s v="991 Main St"/>
    <s v="Debit Card"/>
    <x v="6"/>
    <s v="Instagram"/>
    <n v="369.15"/>
  </r>
  <r>
    <s v="ORD200901"/>
    <x v="897"/>
    <x v="2"/>
    <x v="2"/>
    <n v="458.63"/>
    <s v="839 Main St"/>
    <s v="Debit Card"/>
    <x v="4"/>
    <s v="Referral"/>
    <n v="458.63"/>
  </r>
  <r>
    <s v="ORD200902"/>
    <x v="898"/>
    <x v="0"/>
    <x v="3"/>
    <n v="180.25"/>
    <s v="813 Main St"/>
    <s v="Debit Card"/>
    <x v="0"/>
    <s v="Facebook"/>
    <n v="721"/>
  </r>
  <r>
    <s v="ORD200903"/>
    <x v="899"/>
    <x v="0"/>
    <x v="4"/>
    <n v="473.49"/>
    <s v="205 Main St"/>
    <s v="Credit Card"/>
    <x v="0"/>
    <s v="Email"/>
    <n v="1420.47"/>
  </r>
  <r>
    <s v="ORD200904"/>
    <x v="900"/>
    <x v="0"/>
    <x v="3"/>
    <n v="237.43"/>
    <s v="262 Main St"/>
    <s v="Cash"/>
    <x v="2"/>
    <s v="Referral"/>
    <n v="949.72"/>
  </r>
  <r>
    <s v="ORD200905"/>
    <x v="901"/>
    <x v="5"/>
    <x v="2"/>
    <n v="442.39"/>
    <s v="101 Main St"/>
    <s v="Gift Card"/>
    <x v="5"/>
    <s v="Facebook"/>
    <n v="442.39"/>
  </r>
  <r>
    <s v="ORD200906"/>
    <x v="902"/>
    <x v="0"/>
    <x v="2"/>
    <n v="62.12"/>
    <s v="141 Main St"/>
    <s v="Cash"/>
    <x v="7"/>
    <s v="Email"/>
    <n v="62.12"/>
  </r>
  <r>
    <s v="ORD200907"/>
    <x v="903"/>
    <x v="6"/>
    <x v="0"/>
    <n v="298.39"/>
    <s v="583 Main St"/>
    <s v="Gift Card"/>
    <x v="0"/>
    <s v="Referral"/>
    <n v="1491.95"/>
  </r>
  <r>
    <s v="ORD200908"/>
    <x v="904"/>
    <x v="6"/>
    <x v="1"/>
    <n v="697.93"/>
    <s v="332 Main St"/>
    <s v="Credit Card"/>
    <x v="7"/>
    <s v="Google"/>
    <n v="1395.86"/>
  </r>
  <r>
    <s v="ORD200909"/>
    <x v="905"/>
    <x v="2"/>
    <x v="1"/>
    <n v="291.85000000000002"/>
    <s v="569 Main St"/>
    <s v="Cash"/>
    <x v="3"/>
    <s v="Instagram"/>
    <n v="583.70000000000005"/>
  </r>
  <r>
    <s v="ORD200910"/>
    <x v="906"/>
    <x v="4"/>
    <x v="4"/>
    <n v="308.98"/>
    <s v="348 Main St"/>
    <s v="Cash"/>
    <x v="1"/>
    <s v="Instagram"/>
    <n v="926.94"/>
  </r>
  <r>
    <s v="ORD200911"/>
    <x v="907"/>
    <x v="6"/>
    <x v="0"/>
    <n v="396.86"/>
    <s v="593 Main St"/>
    <s v="Cash"/>
    <x v="6"/>
    <s v="Instagram"/>
    <n v="1984.3"/>
  </r>
  <r>
    <s v="ORD200912"/>
    <x v="908"/>
    <x v="6"/>
    <x v="1"/>
    <n v="139.69"/>
    <s v="318 Main St"/>
    <s v="Online"/>
    <x v="0"/>
    <s v="Email"/>
    <n v="279.38"/>
  </r>
  <r>
    <s v="ORD200913"/>
    <x v="909"/>
    <x v="4"/>
    <x v="0"/>
    <n v="475.95"/>
    <s v="505 Main St"/>
    <s v="Credit Card"/>
    <x v="2"/>
    <s v="Facebook"/>
    <n v="2379.75"/>
  </r>
  <r>
    <s v="ORD200914"/>
    <x v="910"/>
    <x v="6"/>
    <x v="2"/>
    <n v="626.6"/>
    <s v="955 Main St"/>
    <s v="Gift Card"/>
    <x v="4"/>
    <s v="Facebook"/>
    <n v="626.6"/>
  </r>
  <r>
    <s v="ORD200915"/>
    <x v="911"/>
    <x v="5"/>
    <x v="3"/>
    <n v="502.99"/>
    <s v="939 Main St"/>
    <s v="Debit Card"/>
    <x v="4"/>
    <s v="Referral"/>
    <n v="2011.96"/>
  </r>
  <r>
    <s v="ORD200916"/>
    <x v="912"/>
    <x v="4"/>
    <x v="0"/>
    <n v="578.83000000000004"/>
    <s v="165 Main St"/>
    <s v="Cash"/>
    <x v="5"/>
    <s v="Referral"/>
    <n v="2894.15"/>
  </r>
  <r>
    <s v="ORD200917"/>
    <x v="913"/>
    <x v="5"/>
    <x v="0"/>
    <n v="383.82"/>
    <s v="836 Main St"/>
    <s v="Credit Card"/>
    <x v="0"/>
    <s v="Google"/>
    <n v="1919.1"/>
  </r>
  <r>
    <s v="ORD200918"/>
    <x v="914"/>
    <x v="5"/>
    <x v="0"/>
    <n v="368.25"/>
    <s v="706 Main St"/>
    <s v="Online"/>
    <x v="3"/>
    <s v="Instagram"/>
    <n v="1841.25"/>
  </r>
  <r>
    <s v="ORD200919"/>
    <x v="915"/>
    <x v="4"/>
    <x v="1"/>
    <n v="374.6"/>
    <s v="187 Main St"/>
    <s v="Online"/>
    <x v="1"/>
    <s v="Referral"/>
    <n v="749.2"/>
  </r>
  <r>
    <s v="ORD200920"/>
    <x v="916"/>
    <x v="2"/>
    <x v="1"/>
    <n v="428.09"/>
    <s v="978 Main St"/>
    <s v="Credit Card"/>
    <x v="5"/>
    <s v="Instagram"/>
    <n v="856.18"/>
  </r>
  <r>
    <s v="ORD200921"/>
    <x v="917"/>
    <x v="2"/>
    <x v="2"/>
    <n v="438.93"/>
    <s v="144 Main St"/>
    <s v="Gift Card"/>
    <x v="1"/>
    <s v="Referral"/>
    <n v="438.93"/>
  </r>
  <r>
    <s v="ORD200922"/>
    <x v="918"/>
    <x v="6"/>
    <x v="1"/>
    <n v="563.82000000000005"/>
    <s v="487 Main St"/>
    <s v="Credit Card"/>
    <x v="1"/>
    <s v="Instagram"/>
    <n v="1127.6400000000001"/>
  </r>
  <r>
    <s v="ORD200923"/>
    <x v="919"/>
    <x v="4"/>
    <x v="4"/>
    <n v="649.92999999999995"/>
    <s v="836 Main St"/>
    <s v="Credit Card"/>
    <x v="0"/>
    <s v="Facebook"/>
    <n v="1949.79"/>
  </r>
  <r>
    <s v="ORD200924"/>
    <x v="920"/>
    <x v="4"/>
    <x v="0"/>
    <n v="268.43"/>
    <s v="991 Main St"/>
    <s v="Cash"/>
    <x v="3"/>
    <s v="Email"/>
    <n v="1342.15"/>
  </r>
  <r>
    <s v="ORD200925"/>
    <x v="921"/>
    <x v="0"/>
    <x v="0"/>
    <n v="502.47"/>
    <s v="304 Main St"/>
    <s v="Online"/>
    <x v="8"/>
    <s v="Email"/>
    <n v="2512.35"/>
  </r>
  <r>
    <s v="ORD200926"/>
    <x v="922"/>
    <x v="6"/>
    <x v="2"/>
    <n v="26.95"/>
    <s v="672 Main St"/>
    <s v="Cash"/>
    <x v="9"/>
    <s v="Email"/>
    <n v="26.95"/>
  </r>
  <r>
    <s v="ORD200927"/>
    <x v="923"/>
    <x v="5"/>
    <x v="3"/>
    <n v="64.69"/>
    <s v="638 Main St"/>
    <s v="Debit Card"/>
    <x v="0"/>
    <s v="Google"/>
    <n v="258.76"/>
  </r>
  <r>
    <s v="ORD200928"/>
    <x v="924"/>
    <x v="5"/>
    <x v="4"/>
    <n v="247.11"/>
    <s v="821 Main St"/>
    <s v="Debit Card"/>
    <x v="1"/>
    <s v="Referral"/>
    <n v="741.33"/>
  </r>
  <r>
    <s v="ORD200929"/>
    <x v="925"/>
    <x v="2"/>
    <x v="1"/>
    <n v="536.25"/>
    <s v="553 Main St"/>
    <s v="Debit Card"/>
    <x v="1"/>
    <s v="Email"/>
    <n v="1072.5"/>
  </r>
  <r>
    <s v="ORD200930"/>
    <x v="926"/>
    <x v="1"/>
    <x v="1"/>
    <n v="456.04"/>
    <s v="382 Main St"/>
    <s v="Debit Card"/>
    <x v="4"/>
    <s v="Email"/>
    <n v="912.08"/>
  </r>
  <r>
    <s v="ORD200931"/>
    <x v="927"/>
    <x v="4"/>
    <x v="1"/>
    <n v="40.229999999999997"/>
    <s v="623 Main St"/>
    <s v="Credit Card"/>
    <x v="4"/>
    <s v="Google"/>
    <n v="80.459999999999994"/>
  </r>
  <r>
    <s v="ORD200932"/>
    <x v="928"/>
    <x v="5"/>
    <x v="1"/>
    <n v="72.39"/>
    <s v="168 Main St"/>
    <s v="Online"/>
    <x v="0"/>
    <s v="Instagram"/>
    <n v="144.78"/>
  </r>
  <r>
    <s v="ORD200933"/>
    <x v="929"/>
    <x v="0"/>
    <x v="1"/>
    <n v="394.16"/>
    <s v="255 Main St"/>
    <s v="Online"/>
    <x v="7"/>
    <s v="Referral"/>
    <n v="788.32"/>
  </r>
  <r>
    <s v="ORD200934"/>
    <x v="930"/>
    <x v="5"/>
    <x v="3"/>
    <n v="119.84"/>
    <s v="692 Main St"/>
    <s v="Gift Card"/>
    <x v="2"/>
    <s v="Referral"/>
    <n v="479.36"/>
  </r>
  <r>
    <s v="ORD200935"/>
    <x v="931"/>
    <x v="1"/>
    <x v="4"/>
    <n v="692.71"/>
    <s v="398 Main St"/>
    <s v="Credit Card"/>
    <x v="1"/>
    <s v="Instagram"/>
    <n v="2078.13"/>
  </r>
  <r>
    <s v="ORD200936"/>
    <x v="932"/>
    <x v="3"/>
    <x v="3"/>
    <n v="56.66"/>
    <s v="737 Main St"/>
    <s v="Online"/>
    <x v="4"/>
    <s v="Instagram"/>
    <n v="226.64"/>
  </r>
  <r>
    <s v="ORD200937"/>
    <x v="933"/>
    <x v="3"/>
    <x v="1"/>
    <n v="298.52999999999997"/>
    <s v="536 Main St"/>
    <s v="Debit Card"/>
    <x v="3"/>
    <s v="Email"/>
    <n v="597.05999999999995"/>
  </r>
  <r>
    <s v="ORD200938"/>
    <x v="934"/>
    <x v="3"/>
    <x v="4"/>
    <n v="331.46"/>
    <s v="696 Main St"/>
    <s v="Credit Card"/>
    <x v="5"/>
    <s v="Referral"/>
    <n v="994.37999999999988"/>
  </r>
  <r>
    <s v="ORD200939"/>
    <x v="935"/>
    <x v="5"/>
    <x v="1"/>
    <n v="521.4"/>
    <s v="212 Main St"/>
    <s v="Cash"/>
    <x v="0"/>
    <s v="Instagram"/>
    <n v="1042.8"/>
  </r>
  <r>
    <s v="ORD200940"/>
    <x v="936"/>
    <x v="4"/>
    <x v="3"/>
    <n v="305.32"/>
    <s v="679 Main St"/>
    <s v="Online"/>
    <x v="4"/>
    <s v="Google"/>
    <n v="1221.28"/>
  </r>
  <r>
    <s v="ORD200941"/>
    <x v="439"/>
    <x v="4"/>
    <x v="0"/>
    <n v="111.7"/>
    <s v="599 Main St"/>
    <s v="Credit Card"/>
    <x v="6"/>
    <s v="Email"/>
    <n v="558.5"/>
  </r>
  <r>
    <s v="ORD200942"/>
    <x v="937"/>
    <x v="2"/>
    <x v="2"/>
    <n v="479.76"/>
    <s v="882 Main St"/>
    <s v="Credit Card"/>
    <x v="9"/>
    <s v="Email"/>
    <n v="479.76"/>
  </r>
  <r>
    <s v="ORD200943"/>
    <x v="938"/>
    <x v="0"/>
    <x v="4"/>
    <n v="193.49"/>
    <s v="355 Main St"/>
    <s v="Gift Card"/>
    <x v="5"/>
    <s v="Facebook"/>
    <n v="580.47"/>
  </r>
  <r>
    <s v="ORD200944"/>
    <x v="939"/>
    <x v="5"/>
    <x v="1"/>
    <n v="426.22"/>
    <s v="448 Main St"/>
    <s v="Online"/>
    <x v="0"/>
    <s v="Google"/>
    <n v="852.44"/>
  </r>
  <r>
    <s v="ORD200945"/>
    <x v="940"/>
    <x v="2"/>
    <x v="0"/>
    <n v="276.44"/>
    <s v="619 Main St"/>
    <s v="Gift Card"/>
    <x v="8"/>
    <s v="Referral"/>
    <n v="1382.2"/>
  </r>
  <r>
    <s v="ORD200946"/>
    <x v="941"/>
    <x v="1"/>
    <x v="1"/>
    <n v="404.96"/>
    <s v="546 Main St"/>
    <s v="Cash"/>
    <x v="4"/>
    <s v="Email"/>
    <n v="809.92"/>
  </r>
  <r>
    <s v="ORD200947"/>
    <x v="942"/>
    <x v="1"/>
    <x v="3"/>
    <n v="465.66"/>
    <s v="119 Main St"/>
    <s v="Online"/>
    <x v="6"/>
    <s v="Email"/>
    <n v="1862.64"/>
  </r>
  <r>
    <s v="ORD200948"/>
    <x v="445"/>
    <x v="1"/>
    <x v="1"/>
    <n v="594.07000000000005"/>
    <s v="739 Main St"/>
    <s v="Gift Card"/>
    <x v="7"/>
    <s v="Google"/>
    <n v="1188.1400000000001"/>
  </r>
  <r>
    <s v="ORD200949"/>
    <x v="943"/>
    <x v="6"/>
    <x v="0"/>
    <n v="110.38"/>
    <s v="319 Main St"/>
    <s v="Cash"/>
    <x v="8"/>
    <s v="Referral"/>
    <n v="551.9"/>
  </r>
  <r>
    <s v="ORD200950"/>
    <x v="944"/>
    <x v="5"/>
    <x v="2"/>
    <n v="596.24"/>
    <s v="891 Main St"/>
    <s v="Credit Card"/>
    <x v="4"/>
    <s v="Instagram"/>
    <n v="596.24"/>
  </r>
  <r>
    <s v="ORD200951"/>
    <x v="945"/>
    <x v="4"/>
    <x v="1"/>
    <n v="306.24"/>
    <s v="589 Main St"/>
    <s v="Online"/>
    <x v="4"/>
    <s v="Email"/>
    <n v="612.48"/>
  </r>
  <r>
    <s v="ORD200952"/>
    <x v="946"/>
    <x v="0"/>
    <x v="4"/>
    <n v="503.39"/>
    <s v="225 Main St"/>
    <s v="Online"/>
    <x v="3"/>
    <s v="Facebook"/>
    <n v="1510.17"/>
  </r>
  <r>
    <s v="ORD200953"/>
    <x v="947"/>
    <x v="1"/>
    <x v="2"/>
    <n v="131.61000000000001"/>
    <s v="971 Main St"/>
    <s v="Cash"/>
    <x v="7"/>
    <s v="Facebook"/>
    <n v="131.61000000000001"/>
  </r>
  <r>
    <s v="ORD200954"/>
    <x v="948"/>
    <x v="3"/>
    <x v="4"/>
    <n v="443.44"/>
    <s v="240 Main St"/>
    <s v="Gift Card"/>
    <x v="1"/>
    <s v="Google"/>
    <n v="1330.32"/>
  </r>
  <r>
    <s v="ORD200955"/>
    <x v="949"/>
    <x v="3"/>
    <x v="2"/>
    <n v="408.13"/>
    <s v="164 Main St"/>
    <s v="Gift Card"/>
    <x v="1"/>
    <s v="Instagram"/>
    <n v="408.13"/>
  </r>
  <r>
    <s v="ORD200956"/>
    <x v="781"/>
    <x v="1"/>
    <x v="1"/>
    <n v="160.97999999999999"/>
    <s v="381 Main St"/>
    <s v="Debit Card"/>
    <x v="1"/>
    <s v="Referral"/>
    <n v="321.95999999999998"/>
  </r>
  <r>
    <s v="ORD200957"/>
    <x v="950"/>
    <x v="0"/>
    <x v="0"/>
    <n v="643.89"/>
    <s v="851 Main St"/>
    <s v="Cash"/>
    <x v="2"/>
    <s v="Facebook"/>
    <n v="3219.45"/>
  </r>
  <r>
    <s v="ORD200958"/>
    <x v="951"/>
    <x v="6"/>
    <x v="4"/>
    <n v="158.66"/>
    <s v="537 Main St"/>
    <s v="Gift Card"/>
    <x v="0"/>
    <s v="Email"/>
    <n v="475.98"/>
  </r>
  <r>
    <s v="ORD200959"/>
    <x v="952"/>
    <x v="2"/>
    <x v="1"/>
    <n v="143.82"/>
    <s v="856 Main St"/>
    <s v="Credit Card"/>
    <x v="5"/>
    <s v="Instagram"/>
    <n v="287.64"/>
  </r>
  <r>
    <s v="ORD200960"/>
    <x v="953"/>
    <x v="5"/>
    <x v="4"/>
    <n v="379.07"/>
    <s v="312 Main St"/>
    <s v="Gift Card"/>
    <x v="1"/>
    <s v="Google"/>
    <n v="1137.21"/>
  </r>
  <r>
    <s v="ORD200961"/>
    <x v="954"/>
    <x v="1"/>
    <x v="2"/>
    <n v="601.36"/>
    <s v="532 Main St"/>
    <s v="Online"/>
    <x v="9"/>
    <s v="Facebook"/>
    <n v="601.36"/>
  </r>
  <r>
    <s v="ORD200962"/>
    <x v="955"/>
    <x v="1"/>
    <x v="1"/>
    <n v="142.08000000000001"/>
    <s v="838 Main St"/>
    <s v="Gift Card"/>
    <x v="4"/>
    <s v="Referral"/>
    <n v="284.16000000000003"/>
  </r>
  <r>
    <s v="ORD200963"/>
    <x v="956"/>
    <x v="3"/>
    <x v="0"/>
    <n v="530.34"/>
    <s v="970 Main St"/>
    <s v="Online"/>
    <x v="6"/>
    <s v="Google"/>
    <n v="2651.7"/>
  </r>
  <r>
    <s v="ORD200964"/>
    <x v="957"/>
    <x v="1"/>
    <x v="0"/>
    <n v="364.42"/>
    <s v="778 Main St"/>
    <s v="Credit Card"/>
    <x v="8"/>
    <s v="Referral"/>
    <n v="1822.1"/>
  </r>
  <r>
    <s v="ORD200965"/>
    <x v="958"/>
    <x v="5"/>
    <x v="3"/>
    <n v="578.28"/>
    <s v="791 Main St"/>
    <s v="Gift Card"/>
    <x v="3"/>
    <s v="Email"/>
    <n v="2313.12"/>
  </r>
  <r>
    <s v="ORD200966"/>
    <x v="959"/>
    <x v="0"/>
    <x v="0"/>
    <n v="280.52"/>
    <s v="290 Main St"/>
    <s v="Credit Card"/>
    <x v="0"/>
    <s v="Facebook"/>
    <n v="1402.6"/>
  </r>
  <r>
    <s v="ORD200967"/>
    <x v="960"/>
    <x v="2"/>
    <x v="0"/>
    <n v="638.91999999999996"/>
    <s v="502 Main St"/>
    <s v="Credit Card"/>
    <x v="3"/>
    <s v="Google"/>
    <n v="3194.6"/>
  </r>
  <r>
    <s v="ORD200968"/>
    <x v="961"/>
    <x v="0"/>
    <x v="3"/>
    <n v="412.2"/>
    <s v="664 Main St"/>
    <s v="Credit Card"/>
    <x v="5"/>
    <s v="Referral"/>
    <n v="1648.8"/>
  </r>
  <r>
    <s v="ORD200969"/>
    <x v="962"/>
    <x v="6"/>
    <x v="2"/>
    <n v="440.34"/>
    <s v="675 Main St"/>
    <s v="Gift Card"/>
    <x v="7"/>
    <s v="Facebook"/>
    <n v="440.34"/>
  </r>
  <r>
    <s v="ORD200970"/>
    <x v="963"/>
    <x v="6"/>
    <x v="2"/>
    <n v="627.15"/>
    <s v="241 Main St"/>
    <s v="Cash"/>
    <x v="3"/>
    <s v="Instagram"/>
    <n v="627.15"/>
  </r>
  <r>
    <s v="ORD200971"/>
    <x v="964"/>
    <x v="0"/>
    <x v="1"/>
    <n v="605.26"/>
    <s v="934 Main St"/>
    <s v="Cash"/>
    <x v="4"/>
    <s v="Referral"/>
    <n v="1210.52"/>
  </r>
  <r>
    <s v="ORD200972"/>
    <x v="965"/>
    <x v="5"/>
    <x v="2"/>
    <n v="90.27"/>
    <s v="816 Main St"/>
    <s v="Cash"/>
    <x v="3"/>
    <s v="Facebook"/>
    <n v="90.27"/>
  </r>
  <r>
    <s v="ORD200973"/>
    <x v="966"/>
    <x v="6"/>
    <x v="0"/>
    <n v="230.77"/>
    <s v="141 Main St"/>
    <s v="Online"/>
    <x v="8"/>
    <s v="Referral"/>
    <n v="1153.8499999999999"/>
  </r>
  <r>
    <s v="ORD200974"/>
    <x v="967"/>
    <x v="6"/>
    <x v="0"/>
    <n v="266.77999999999997"/>
    <s v="274 Main St"/>
    <s v="Gift Card"/>
    <x v="3"/>
    <s v="Email"/>
    <n v="1333.9"/>
  </r>
  <r>
    <s v="ORD200975"/>
    <x v="968"/>
    <x v="6"/>
    <x v="2"/>
    <n v="105.92"/>
    <s v="974 Main St"/>
    <s v="Gift Card"/>
    <x v="5"/>
    <s v="Email"/>
    <n v="105.92"/>
  </r>
  <r>
    <s v="ORD200976"/>
    <x v="969"/>
    <x v="2"/>
    <x v="4"/>
    <n v="589.29999999999995"/>
    <s v="650 Main St"/>
    <s v="Credit Card"/>
    <x v="5"/>
    <s v="Referral"/>
    <n v="1767.9"/>
  </r>
  <r>
    <s v="ORD200977"/>
    <x v="970"/>
    <x v="3"/>
    <x v="3"/>
    <n v="649.47"/>
    <s v="608 Main St"/>
    <s v="Cash"/>
    <x v="2"/>
    <s v="Google"/>
    <n v="2597.88"/>
  </r>
  <r>
    <s v="ORD200978"/>
    <x v="971"/>
    <x v="4"/>
    <x v="3"/>
    <n v="107.49"/>
    <s v="993 Main St"/>
    <s v="Cash"/>
    <x v="3"/>
    <s v="Google"/>
    <n v="429.96"/>
  </r>
  <r>
    <s v="ORD200979"/>
    <x v="972"/>
    <x v="0"/>
    <x v="4"/>
    <n v="669.06"/>
    <s v="299 Main St"/>
    <s v="Cash"/>
    <x v="0"/>
    <s v="Facebook"/>
    <n v="2007.18"/>
  </r>
  <r>
    <s v="ORD200980"/>
    <x v="973"/>
    <x v="3"/>
    <x v="4"/>
    <n v="69.650000000000006"/>
    <s v="107 Main St"/>
    <s v="Cash"/>
    <x v="0"/>
    <s v="Instagram"/>
    <n v="208.95"/>
  </r>
  <r>
    <s v="ORD200981"/>
    <x v="974"/>
    <x v="1"/>
    <x v="3"/>
    <n v="136.83000000000001"/>
    <s v="490 Main St"/>
    <s v="Debit Card"/>
    <x v="2"/>
    <s v="Email"/>
    <n v="547.32000000000005"/>
  </r>
  <r>
    <s v="ORD200982"/>
    <x v="975"/>
    <x v="0"/>
    <x v="2"/>
    <n v="304.11"/>
    <s v="707 Main St"/>
    <s v="Gift Card"/>
    <x v="7"/>
    <s v="Referral"/>
    <n v="304.11"/>
  </r>
  <r>
    <s v="ORD200983"/>
    <x v="976"/>
    <x v="0"/>
    <x v="3"/>
    <n v="296.27999999999997"/>
    <s v="110 Main St"/>
    <s v="Gift Card"/>
    <x v="3"/>
    <s v="Email"/>
    <n v="1185.1199999999999"/>
  </r>
  <r>
    <s v="ORD200984"/>
    <x v="977"/>
    <x v="6"/>
    <x v="2"/>
    <n v="77.64"/>
    <s v="706 Main St"/>
    <s v="Credit Card"/>
    <x v="9"/>
    <s v="Facebook"/>
    <n v="77.64"/>
  </r>
  <r>
    <s v="ORD200985"/>
    <x v="978"/>
    <x v="6"/>
    <x v="2"/>
    <n v="243.71"/>
    <s v="948 Main St"/>
    <s v="Gift Card"/>
    <x v="5"/>
    <s v="Google"/>
    <n v="243.71"/>
  </r>
  <r>
    <s v="ORD200986"/>
    <x v="979"/>
    <x v="5"/>
    <x v="3"/>
    <n v="644.96"/>
    <s v="533 Main St"/>
    <s v="Credit Card"/>
    <x v="0"/>
    <s v="Email"/>
    <n v="2579.84"/>
  </r>
  <r>
    <s v="ORD200987"/>
    <x v="980"/>
    <x v="1"/>
    <x v="0"/>
    <n v="283.73"/>
    <s v="436 Main St"/>
    <s v="Gift Card"/>
    <x v="2"/>
    <s v="Instagram"/>
    <n v="1418.65"/>
  </r>
  <r>
    <s v="ORD200988"/>
    <x v="981"/>
    <x v="6"/>
    <x v="1"/>
    <n v="629.55999999999995"/>
    <s v="818 Main St"/>
    <s v="Gift Card"/>
    <x v="3"/>
    <s v="Instagram"/>
    <n v="1259.1199999999999"/>
  </r>
  <r>
    <s v="ORD200989"/>
    <x v="982"/>
    <x v="5"/>
    <x v="3"/>
    <n v="246.11"/>
    <s v="559 Main St"/>
    <s v="Credit Card"/>
    <x v="4"/>
    <s v="Instagram"/>
    <n v="984.44"/>
  </r>
  <r>
    <s v="ORD200990"/>
    <x v="983"/>
    <x v="1"/>
    <x v="1"/>
    <n v="418.26"/>
    <s v="913 Main St"/>
    <s v="Debit Card"/>
    <x v="7"/>
    <s v="Google"/>
    <n v="836.52"/>
  </r>
  <r>
    <s v="ORD200991"/>
    <x v="984"/>
    <x v="6"/>
    <x v="0"/>
    <n v="127.18"/>
    <s v="598 Main St"/>
    <s v="Debit Card"/>
    <x v="8"/>
    <s v="Google"/>
    <n v="635.90000000000009"/>
  </r>
  <r>
    <s v="ORD200992"/>
    <x v="985"/>
    <x v="4"/>
    <x v="4"/>
    <n v="586.21"/>
    <s v="933 Main St"/>
    <s v="Gift Card"/>
    <x v="4"/>
    <s v="Referral"/>
    <n v="1758.63"/>
  </r>
  <r>
    <s v="ORD200993"/>
    <x v="986"/>
    <x v="0"/>
    <x v="4"/>
    <n v="267.45"/>
    <s v="576 Main St"/>
    <s v="Gift Card"/>
    <x v="3"/>
    <s v="Instagram"/>
    <n v="802.34999999999991"/>
  </r>
  <r>
    <s v="ORD200994"/>
    <x v="987"/>
    <x v="2"/>
    <x v="3"/>
    <n v="615.65"/>
    <s v="971 Main St"/>
    <s v="Debit Card"/>
    <x v="6"/>
    <s v="Google"/>
    <n v="2462.6"/>
  </r>
  <r>
    <s v="ORD200995"/>
    <x v="988"/>
    <x v="0"/>
    <x v="1"/>
    <n v="113.29"/>
    <s v="959 Main St"/>
    <s v="Cash"/>
    <x v="3"/>
    <s v="Facebook"/>
    <n v="226.58"/>
  </r>
  <r>
    <s v="ORD200996"/>
    <x v="989"/>
    <x v="0"/>
    <x v="3"/>
    <n v="473.86"/>
    <s v="101 Main St"/>
    <s v="Debit Card"/>
    <x v="0"/>
    <s v="Facebook"/>
    <n v="1895.44"/>
  </r>
  <r>
    <s v="ORD200997"/>
    <x v="990"/>
    <x v="5"/>
    <x v="4"/>
    <n v="444.75"/>
    <s v="805 Main St"/>
    <s v="Cash"/>
    <x v="5"/>
    <s v="Facebook"/>
    <n v="1334.25"/>
  </r>
  <r>
    <s v="ORD200998"/>
    <x v="991"/>
    <x v="1"/>
    <x v="1"/>
    <n v="183.67"/>
    <s v="783 Main St"/>
    <s v="Debit Card"/>
    <x v="5"/>
    <s v="Google"/>
    <n v="367.34"/>
  </r>
  <r>
    <s v="ORD200999"/>
    <x v="992"/>
    <x v="4"/>
    <x v="2"/>
    <n v="483.38"/>
    <s v="652 Main St"/>
    <s v="Cash"/>
    <x v="5"/>
    <s v="Google"/>
    <n v="483.38"/>
  </r>
  <r>
    <s v="ORD201000"/>
    <x v="993"/>
    <x v="4"/>
    <x v="0"/>
    <n v="260.93"/>
    <s v="582 Main St"/>
    <s v="Online"/>
    <x v="6"/>
    <s v="Email"/>
    <n v="1304.6500000000001"/>
  </r>
  <r>
    <s v="ORD201001"/>
    <x v="994"/>
    <x v="4"/>
    <x v="1"/>
    <n v="253.68"/>
    <s v="122 Main St"/>
    <s v="Gift Card"/>
    <x v="5"/>
    <s v="Referral"/>
    <n v="507.36"/>
  </r>
  <r>
    <s v="ORD201002"/>
    <x v="995"/>
    <x v="2"/>
    <x v="3"/>
    <n v="699.88"/>
    <s v="944 Main St"/>
    <s v="Cash"/>
    <x v="3"/>
    <s v="Referral"/>
    <n v="2799.52"/>
  </r>
  <r>
    <s v="ORD201003"/>
    <x v="996"/>
    <x v="4"/>
    <x v="0"/>
    <n v="319.97000000000003"/>
    <s v="582 Main St"/>
    <s v="Cash"/>
    <x v="0"/>
    <s v="Google"/>
    <n v="1599.85"/>
  </r>
  <r>
    <s v="ORD201004"/>
    <x v="997"/>
    <x v="3"/>
    <x v="3"/>
    <n v="246.91"/>
    <s v="296 Main St"/>
    <s v="Online"/>
    <x v="2"/>
    <s v="Referral"/>
    <n v="987.64"/>
  </r>
  <r>
    <s v="ORD201005"/>
    <x v="998"/>
    <x v="4"/>
    <x v="4"/>
    <n v="392.85"/>
    <s v="426 Main St"/>
    <s v="Credit Card"/>
    <x v="5"/>
    <s v="Google"/>
    <n v="1178.55"/>
  </r>
  <r>
    <s v="ORD201006"/>
    <x v="999"/>
    <x v="2"/>
    <x v="0"/>
    <n v="420.98"/>
    <s v="860 Main St"/>
    <s v="Cash"/>
    <x v="0"/>
    <s v="Facebook"/>
    <n v="2104.9"/>
  </r>
  <r>
    <s v="ORD201007"/>
    <x v="485"/>
    <x v="0"/>
    <x v="1"/>
    <n v="73.260000000000005"/>
    <s v="839 Main St"/>
    <s v="Cash"/>
    <x v="4"/>
    <s v="Facebook"/>
    <n v="146.52000000000001"/>
  </r>
  <r>
    <s v="ORD201008"/>
    <x v="1000"/>
    <x v="0"/>
    <x v="4"/>
    <n v="410.88"/>
    <s v="257 Main St"/>
    <s v="Cash"/>
    <x v="2"/>
    <s v="Instagram"/>
    <n v="1232.6400000000001"/>
  </r>
  <r>
    <s v="ORD201009"/>
    <x v="1001"/>
    <x v="2"/>
    <x v="1"/>
    <n v="176.46"/>
    <s v="696 Main St"/>
    <s v="Credit Card"/>
    <x v="7"/>
    <s v="Email"/>
    <n v="352.92"/>
  </r>
  <r>
    <s v="ORD201010"/>
    <x v="1002"/>
    <x v="0"/>
    <x v="4"/>
    <n v="659.57"/>
    <s v="533 Main St"/>
    <s v="Credit Card"/>
    <x v="5"/>
    <s v="Email"/>
    <n v="1978.71"/>
  </r>
  <r>
    <s v="ORD201011"/>
    <x v="1003"/>
    <x v="1"/>
    <x v="1"/>
    <n v="478.36"/>
    <s v="654 Main St"/>
    <s v="Online"/>
    <x v="1"/>
    <s v="Google"/>
    <n v="956.72"/>
  </r>
  <r>
    <s v="ORD201012"/>
    <x v="1004"/>
    <x v="4"/>
    <x v="3"/>
    <n v="30.05"/>
    <s v="301 Main St"/>
    <s v="Online"/>
    <x v="5"/>
    <s v="Facebook"/>
    <n v="120.2"/>
  </r>
  <r>
    <s v="ORD201013"/>
    <x v="1005"/>
    <x v="5"/>
    <x v="3"/>
    <n v="300.56"/>
    <s v="842 Main St"/>
    <s v="Cash"/>
    <x v="6"/>
    <s v="Facebook"/>
    <n v="1202.24"/>
  </r>
  <r>
    <s v="ORD201014"/>
    <x v="1006"/>
    <x v="2"/>
    <x v="0"/>
    <n v="226.45"/>
    <s v="160 Main St"/>
    <s v="Debit Card"/>
    <x v="5"/>
    <s v="Email"/>
    <n v="1132.25"/>
  </r>
  <r>
    <s v="ORD201015"/>
    <x v="1007"/>
    <x v="4"/>
    <x v="1"/>
    <n v="349.4"/>
    <s v="892 Main St"/>
    <s v="Online"/>
    <x v="7"/>
    <s v="Instagram"/>
    <n v="698.8"/>
  </r>
  <r>
    <s v="ORD201016"/>
    <x v="1008"/>
    <x v="2"/>
    <x v="0"/>
    <n v="268.77999999999997"/>
    <s v="669 Main St"/>
    <s v="Debit Card"/>
    <x v="0"/>
    <s v="Email"/>
    <n v="1343.9"/>
  </r>
  <r>
    <s v="ORD201017"/>
    <x v="1009"/>
    <x v="3"/>
    <x v="1"/>
    <n v="680.85"/>
    <s v="953 Main St"/>
    <s v="Gift Card"/>
    <x v="5"/>
    <s v="Referral"/>
    <n v="1361.7"/>
  </r>
  <r>
    <s v="ORD201018"/>
    <x v="1010"/>
    <x v="5"/>
    <x v="4"/>
    <n v="182.48"/>
    <s v="209 Main St"/>
    <s v="Cash"/>
    <x v="1"/>
    <s v="Instagram"/>
    <n v="547.43999999999994"/>
  </r>
  <r>
    <s v="ORD201019"/>
    <x v="1011"/>
    <x v="6"/>
    <x v="2"/>
    <n v="277.08999999999997"/>
    <s v="293 Main St"/>
    <s v="Cash"/>
    <x v="7"/>
    <s v="Referral"/>
    <n v="277.08999999999997"/>
  </r>
  <r>
    <s v="ORD201020"/>
    <x v="1012"/>
    <x v="2"/>
    <x v="1"/>
    <n v="26.5"/>
    <s v="312 Main St"/>
    <s v="Online"/>
    <x v="1"/>
    <s v="Instagram"/>
    <n v="53"/>
  </r>
  <r>
    <s v="ORD201021"/>
    <x v="1013"/>
    <x v="1"/>
    <x v="4"/>
    <n v="315.27"/>
    <s v="309 Main St"/>
    <s v="Credit Card"/>
    <x v="4"/>
    <s v="Email"/>
    <n v="945.81"/>
  </r>
  <r>
    <s v="ORD201022"/>
    <x v="1014"/>
    <x v="2"/>
    <x v="4"/>
    <n v="450.98"/>
    <s v="396 Main St"/>
    <s v="Credit Card"/>
    <x v="2"/>
    <s v="Referral"/>
    <n v="1352.94"/>
  </r>
  <r>
    <s v="ORD201023"/>
    <x v="1015"/>
    <x v="5"/>
    <x v="0"/>
    <n v="233.67"/>
    <s v="291 Main St"/>
    <s v="Cash"/>
    <x v="8"/>
    <s v="Referral"/>
    <n v="1168.3499999999999"/>
  </r>
  <r>
    <s v="ORD201024"/>
    <x v="1016"/>
    <x v="3"/>
    <x v="4"/>
    <n v="367.75"/>
    <s v="731 Main St"/>
    <s v="Cash"/>
    <x v="0"/>
    <s v="Facebook"/>
    <n v="1103.25"/>
  </r>
  <r>
    <s v="ORD201025"/>
    <x v="1017"/>
    <x v="3"/>
    <x v="2"/>
    <n v="23.53"/>
    <s v="174 Main St"/>
    <s v="Gift Card"/>
    <x v="7"/>
    <s v="Instagram"/>
    <n v="23.53"/>
  </r>
  <r>
    <s v="ORD201026"/>
    <x v="1018"/>
    <x v="0"/>
    <x v="2"/>
    <n v="677.48"/>
    <s v="807 Main St"/>
    <s v="Online"/>
    <x v="9"/>
    <s v="Facebook"/>
    <n v="677.48"/>
  </r>
  <r>
    <s v="ORD201027"/>
    <x v="1019"/>
    <x v="5"/>
    <x v="3"/>
    <n v="554.83000000000004"/>
    <s v="983 Main St"/>
    <s v="Cash"/>
    <x v="5"/>
    <s v="Google"/>
    <n v="2219.3200000000002"/>
  </r>
  <r>
    <s v="ORD201028"/>
    <x v="1020"/>
    <x v="6"/>
    <x v="3"/>
    <n v="440.31"/>
    <s v="610 Main St"/>
    <s v="Cash"/>
    <x v="5"/>
    <s v="Instagram"/>
    <n v="1761.24"/>
  </r>
  <r>
    <s v="ORD201029"/>
    <x v="1021"/>
    <x v="6"/>
    <x v="2"/>
    <n v="87.06"/>
    <s v="851 Main St"/>
    <s v="Credit Card"/>
    <x v="4"/>
    <s v="Email"/>
    <n v="87.06"/>
  </r>
  <r>
    <s v="ORD201030"/>
    <x v="1022"/>
    <x v="1"/>
    <x v="3"/>
    <n v="245.28"/>
    <s v="176 Main St"/>
    <s v="Credit Card"/>
    <x v="5"/>
    <s v="Email"/>
    <n v="981.12"/>
  </r>
  <r>
    <s v="ORD201031"/>
    <x v="1023"/>
    <x v="1"/>
    <x v="0"/>
    <n v="664.51"/>
    <s v="136 Main St"/>
    <s v="Debit Card"/>
    <x v="2"/>
    <s v="Email"/>
    <n v="3322.55"/>
  </r>
  <r>
    <s v="ORD201032"/>
    <x v="1024"/>
    <x v="3"/>
    <x v="2"/>
    <n v="618.67999999999995"/>
    <s v="990 Main St"/>
    <s v="Online"/>
    <x v="5"/>
    <s v="Referral"/>
    <n v="618.67999999999995"/>
  </r>
  <r>
    <s v="ORD201033"/>
    <x v="1025"/>
    <x v="0"/>
    <x v="2"/>
    <n v="370.85"/>
    <s v="331 Main St"/>
    <s v="Gift Card"/>
    <x v="7"/>
    <s v="Referral"/>
    <n v="370.85"/>
  </r>
  <r>
    <s v="ORD201034"/>
    <x v="1026"/>
    <x v="4"/>
    <x v="3"/>
    <n v="517.98"/>
    <s v="766 Main St"/>
    <s v="Cash"/>
    <x v="2"/>
    <s v="Facebook"/>
    <n v="2071.92"/>
  </r>
  <r>
    <s v="ORD201035"/>
    <x v="1027"/>
    <x v="5"/>
    <x v="3"/>
    <n v="506.11"/>
    <s v="911 Main St"/>
    <s v="Cash"/>
    <x v="3"/>
    <s v="Referral"/>
    <n v="2024.44"/>
  </r>
  <r>
    <s v="ORD201036"/>
    <x v="1028"/>
    <x v="1"/>
    <x v="4"/>
    <n v="413.83"/>
    <s v="552 Main St"/>
    <s v="Gift Card"/>
    <x v="2"/>
    <s v="Facebook"/>
    <n v="1241.49"/>
  </r>
  <r>
    <s v="ORD201037"/>
    <x v="1029"/>
    <x v="4"/>
    <x v="2"/>
    <n v="249.81"/>
    <s v="408 Main St"/>
    <s v="Cash"/>
    <x v="9"/>
    <s v="Google"/>
    <n v="249.81"/>
  </r>
  <r>
    <s v="ORD201038"/>
    <x v="1030"/>
    <x v="2"/>
    <x v="4"/>
    <n v="362.53"/>
    <s v="422 Main St"/>
    <s v="Debit Card"/>
    <x v="3"/>
    <s v="Facebook"/>
    <n v="1087.5899999999999"/>
  </r>
  <r>
    <s v="ORD201039"/>
    <x v="1031"/>
    <x v="6"/>
    <x v="1"/>
    <n v="299.23"/>
    <s v="177 Main St"/>
    <s v="Credit Card"/>
    <x v="7"/>
    <s v="Instagram"/>
    <n v="598.46"/>
  </r>
  <r>
    <s v="ORD201040"/>
    <x v="1032"/>
    <x v="2"/>
    <x v="2"/>
    <n v="536.07000000000005"/>
    <s v="932 Main St"/>
    <s v="Debit Card"/>
    <x v="3"/>
    <s v="Google"/>
    <n v="536.07000000000005"/>
  </r>
  <r>
    <s v="ORD201041"/>
    <x v="1033"/>
    <x v="0"/>
    <x v="3"/>
    <n v="558.9"/>
    <s v="948 Main St"/>
    <s v="Gift Card"/>
    <x v="6"/>
    <s v="Google"/>
    <n v="2235.6"/>
  </r>
  <r>
    <s v="ORD201042"/>
    <x v="1034"/>
    <x v="2"/>
    <x v="1"/>
    <n v="409.75"/>
    <s v="414 Main St"/>
    <s v="Debit Card"/>
    <x v="7"/>
    <s v="Facebook"/>
    <n v="819.5"/>
  </r>
  <r>
    <s v="ORD201043"/>
    <x v="1035"/>
    <x v="2"/>
    <x v="1"/>
    <n v="179.96"/>
    <s v="675 Main St"/>
    <s v="Gift Card"/>
    <x v="3"/>
    <s v="Instagram"/>
    <n v="359.92"/>
  </r>
  <r>
    <s v="ORD201044"/>
    <x v="1036"/>
    <x v="4"/>
    <x v="2"/>
    <n v="38.49"/>
    <s v="215 Main St"/>
    <s v="Credit Card"/>
    <x v="4"/>
    <s v="Referral"/>
    <n v="38.49"/>
  </r>
  <r>
    <s v="ORD201045"/>
    <x v="1037"/>
    <x v="5"/>
    <x v="0"/>
    <n v="316.39999999999998"/>
    <s v="671 Main St"/>
    <s v="Gift Card"/>
    <x v="0"/>
    <s v="Email"/>
    <n v="1582"/>
  </r>
  <r>
    <s v="ORD201046"/>
    <x v="1038"/>
    <x v="2"/>
    <x v="4"/>
    <n v="547.15"/>
    <s v="466 Main St"/>
    <s v="Online"/>
    <x v="4"/>
    <s v="Instagram"/>
    <n v="1641.45"/>
  </r>
  <r>
    <s v="ORD201047"/>
    <x v="1039"/>
    <x v="3"/>
    <x v="3"/>
    <n v="540.34"/>
    <s v="394 Main St"/>
    <s v="Gift Card"/>
    <x v="5"/>
    <s v="Referral"/>
    <n v="2161.36"/>
  </r>
  <r>
    <s v="ORD201048"/>
    <x v="1040"/>
    <x v="0"/>
    <x v="3"/>
    <n v="73.650000000000006"/>
    <s v="889 Main St"/>
    <s v="Debit Card"/>
    <x v="6"/>
    <s v="Google"/>
    <n v="294.60000000000002"/>
  </r>
  <r>
    <s v="ORD201049"/>
    <x v="1041"/>
    <x v="6"/>
    <x v="0"/>
    <n v="391.86"/>
    <s v="587 Main St"/>
    <s v="Credit Card"/>
    <x v="5"/>
    <s v="Instagram"/>
    <n v="1959.3"/>
  </r>
  <r>
    <s v="ORD201050"/>
    <x v="1042"/>
    <x v="5"/>
    <x v="0"/>
    <n v="69.7"/>
    <s v="722 Main St"/>
    <s v="Online"/>
    <x v="6"/>
    <s v="Instagram"/>
    <n v="348.5"/>
  </r>
  <r>
    <s v="ORD201051"/>
    <x v="1043"/>
    <x v="0"/>
    <x v="0"/>
    <n v="26.43"/>
    <s v="820 Main St"/>
    <s v="Gift Card"/>
    <x v="3"/>
    <s v="Facebook"/>
    <n v="132.15"/>
  </r>
  <r>
    <s v="ORD201052"/>
    <x v="1044"/>
    <x v="2"/>
    <x v="2"/>
    <n v="531.74"/>
    <s v="493 Main St"/>
    <s v="Online"/>
    <x v="9"/>
    <s v="Google"/>
    <n v="531.74"/>
  </r>
  <r>
    <s v="ORD201053"/>
    <x v="1045"/>
    <x v="1"/>
    <x v="1"/>
    <n v="496.62"/>
    <s v="679 Main St"/>
    <s v="Online"/>
    <x v="7"/>
    <s v="Instagram"/>
    <n v="993.24"/>
  </r>
  <r>
    <s v="ORD201054"/>
    <x v="1046"/>
    <x v="4"/>
    <x v="2"/>
    <n v="660.66"/>
    <s v="447 Main St"/>
    <s v="Debit Card"/>
    <x v="1"/>
    <s v="Instagram"/>
    <n v="660.66"/>
  </r>
  <r>
    <s v="ORD201055"/>
    <x v="1047"/>
    <x v="0"/>
    <x v="3"/>
    <n v="274.82"/>
    <s v="932 Main St"/>
    <s v="Debit Card"/>
    <x v="6"/>
    <s v="Email"/>
    <n v="1099.28"/>
  </r>
  <r>
    <s v="ORD201056"/>
    <x v="1048"/>
    <x v="1"/>
    <x v="1"/>
    <n v="486.35"/>
    <s v="790 Main St"/>
    <s v="Online"/>
    <x v="5"/>
    <s v="Referral"/>
    <n v="972.7"/>
  </r>
  <r>
    <s v="ORD201057"/>
    <x v="1049"/>
    <x v="5"/>
    <x v="4"/>
    <n v="428.88"/>
    <s v="535 Main St"/>
    <s v="Debit Card"/>
    <x v="1"/>
    <s v="Facebook"/>
    <n v="1286.6400000000001"/>
  </r>
  <r>
    <s v="ORD201058"/>
    <x v="1050"/>
    <x v="6"/>
    <x v="1"/>
    <n v="412.14"/>
    <s v="127 Main St"/>
    <s v="Credit Card"/>
    <x v="7"/>
    <s v="Instagram"/>
    <n v="824.28"/>
  </r>
  <r>
    <s v="ORD201059"/>
    <x v="1051"/>
    <x v="6"/>
    <x v="2"/>
    <n v="265.64"/>
    <s v="601 Main St"/>
    <s v="Credit Card"/>
    <x v="1"/>
    <s v="Instagram"/>
    <n v="265.64"/>
  </r>
  <r>
    <s v="ORD201060"/>
    <x v="1052"/>
    <x v="2"/>
    <x v="1"/>
    <n v="273.43"/>
    <s v="824 Main St"/>
    <s v="Cash"/>
    <x v="0"/>
    <s v="Referral"/>
    <n v="546.86"/>
  </r>
  <r>
    <s v="ORD201061"/>
    <x v="1053"/>
    <x v="5"/>
    <x v="0"/>
    <n v="131.69999999999999"/>
    <s v="830 Main St"/>
    <s v="Cash"/>
    <x v="2"/>
    <s v="Google"/>
    <n v="658.5"/>
  </r>
  <r>
    <s v="ORD201062"/>
    <x v="1054"/>
    <x v="3"/>
    <x v="0"/>
    <n v="85.52"/>
    <s v="301 Main St"/>
    <s v="Gift Card"/>
    <x v="3"/>
    <s v="Facebook"/>
    <n v="427.6"/>
  </r>
  <r>
    <s v="ORD201063"/>
    <x v="1055"/>
    <x v="6"/>
    <x v="1"/>
    <n v="320.68"/>
    <s v="336 Main St"/>
    <s v="Credit Card"/>
    <x v="3"/>
    <s v="Referral"/>
    <n v="641.36"/>
  </r>
  <r>
    <s v="ORD201064"/>
    <x v="1056"/>
    <x v="5"/>
    <x v="3"/>
    <n v="198.81"/>
    <s v="654 Main St"/>
    <s v="Cash"/>
    <x v="6"/>
    <s v="Referral"/>
    <n v="795.24"/>
  </r>
  <r>
    <s v="ORD201065"/>
    <x v="1057"/>
    <x v="4"/>
    <x v="0"/>
    <n v="666.8"/>
    <s v="488 Main St"/>
    <s v="Debit Card"/>
    <x v="0"/>
    <s v="Referral"/>
    <n v="3334"/>
  </r>
  <r>
    <s v="ORD201066"/>
    <x v="1058"/>
    <x v="6"/>
    <x v="2"/>
    <n v="355.09"/>
    <s v="674 Main St"/>
    <s v="Debit Card"/>
    <x v="3"/>
    <s v="Instagram"/>
    <n v="355.09"/>
  </r>
  <r>
    <s v="ORD201067"/>
    <x v="1059"/>
    <x v="1"/>
    <x v="1"/>
    <n v="316.2"/>
    <s v="384 Main St"/>
    <s v="Online"/>
    <x v="7"/>
    <s v="Instagram"/>
    <n v="632.4"/>
  </r>
  <r>
    <s v="ORD201068"/>
    <x v="1060"/>
    <x v="5"/>
    <x v="2"/>
    <n v="133.38999999999999"/>
    <s v="469 Main St"/>
    <s v="Debit Card"/>
    <x v="7"/>
    <s v="Referral"/>
    <n v="133.38999999999999"/>
  </r>
  <r>
    <s v="ORD201069"/>
    <x v="1061"/>
    <x v="0"/>
    <x v="2"/>
    <n v="454.23"/>
    <s v="255 Main St"/>
    <s v="Gift Card"/>
    <x v="1"/>
    <s v="Facebook"/>
    <n v="454.23"/>
  </r>
  <r>
    <s v="ORD201070"/>
    <x v="1062"/>
    <x v="6"/>
    <x v="3"/>
    <n v="491.29"/>
    <s v="496 Main St"/>
    <s v="Debit Card"/>
    <x v="5"/>
    <s v="Email"/>
    <n v="1965.16"/>
  </r>
  <r>
    <s v="ORD201071"/>
    <x v="1063"/>
    <x v="1"/>
    <x v="1"/>
    <n v="255.14"/>
    <s v="216 Main St"/>
    <s v="Cash"/>
    <x v="7"/>
    <s v="Google"/>
    <n v="510.28"/>
  </r>
  <r>
    <s v="ORD201072"/>
    <x v="1064"/>
    <x v="0"/>
    <x v="2"/>
    <n v="392.61"/>
    <s v="977 Main St"/>
    <s v="Gift Card"/>
    <x v="4"/>
    <s v="Referral"/>
    <n v="392.61"/>
  </r>
  <r>
    <s v="ORD201073"/>
    <x v="1065"/>
    <x v="2"/>
    <x v="3"/>
    <n v="362.06"/>
    <s v="294 Main St"/>
    <s v="Debit Card"/>
    <x v="4"/>
    <s v="Facebook"/>
    <n v="1448.24"/>
  </r>
  <r>
    <s v="ORD201074"/>
    <x v="1066"/>
    <x v="1"/>
    <x v="2"/>
    <n v="222.73"/>
    <s v="120 Main St"/>
    <s v="Online"/>
    <x v="4"/>
    <s v="Google"/>
    <n v="222.73"/>
  </r>
  <r>
    <s v="ORD201075"/>
    <x v="1067"/>
    <x v="0"/>
    <x v="1"/>
    <n v="552.63"/>
    <s v="609 Main St"/>
    <s v="Debit Card"/>
    <x v="0"/>
    <s v="Instagram"/>
    <n v="1105.26"/>
  </r>
  <r>
    <s v="ORD201076"/>
    <x v="1068"/>
    <x v="5"/>
    <x v="3"/>
    <n v="686.61"/>
    <s v="176 Main St"/>
    <s v="Cash"/>
    <x v="5"/>
    <s v="Referral"/>
    <n v="2746.44"/>
  </r>
  <r>
    <s v="ORD201077"/>
    <x v="1069"/>
    <x v="4"/>
    <x v="4"/>
    <n v="305.16000000000003"/>
    <s v="115 Main St"/>
    <s v="Credit Card"/>
    <x v="2"/>
    <s v="Referral"/>
    <n v="915.48"/>
  </r>
  <r>
    <s v="ORD201078"/>
    <x v="1070"/>
    <x v="6"/>
    <x v="2"/>
    <n v="41.09"/>
    <s v="881 Main St"/>
    <s v="Online"/>
    <x v="4"/>
    <s v="Email"/>
    <n v="41.09"/>
  </r>
  <r>
    <s v="ORD201079"/>
    <x v="1071"/>
    <x v="1"/>
    <x v="0"/>
    <n v="634"/>
    <s v="144 Main St"/>
    <s v="Gift Card"/>
    <x v="2"/>
    <s v="Email"/>
    <n v="3170"/>
  </r>
  <r>
    <s v="ORD201080"/>
    <x v="1072"/>
    <x v="5"/>
    <x v="0"/>
    <n v="464.74"/>
    <s v="438 Main St"/>
    <s v="Gift Card"/>
    <x v="0"/>
    <s v="Referral"/>
    <n v="2323.6999999999998"/>
  </r>
  <r>
    <s v="ORD201081"/>
    <x v="1073"/>
    <x v="0"/>
    <x v="3"/>
    <n v="425.6"/>
    <s v="494 Main St"/>
    <s v="Credit Card"/>
    <x v="3"/>
    <s v="Google"/>
    <n v="1702.4"/>
  </r>
  <r>
    <s v="ORD201082"/>
    <x v="1074"/>
    <x v="3"/>
    <x v="4"/>
    <n v="573.22"/>
    <s v="177 Main St"/>
    <s v="Debit Card"/>
    <x v="3"/>
    <s v="Email"/>
    <n v="1719.66"/>
  </r>
  <r>
    <s v="ORD201083"/>
    <x v="1075"/>
    <x v="3"/>
    <x v="2"/>
    <n v="123.28"/>
    <s v="895 Main St"/>
    <s v="Credit Card"/>
    <x v="1"/>
    <s v="Email"/>
    <n v="123.28"/>
  </r>
  <r>
    <s v="ORD201084"/>
    <x v="1076"/>
    <x v="1"/>
    <x v="2"/>
    <n v="70.819999999999993"/>
    <s v="128 Main St"/>
    <s v="Gift Card"/>
    <x v="9"/>
    <s v="Instagram"/>
    <n v="70.819999999999993"/>
  </r>
  <r>
    <s v="ORD201085"/>
    <x v="1077"/>
    <x v="4"/>
    <x v="1"/>
    <n v="646.69000000000005"/>
    <s v="404 Main St"/>
    <s v="Debit Card"/>
    <x v="0"/>
    <s v="Instagram"/>
    <n v="1293.3800000000001"/>
  </r>
  <r>
    <s v="ORD201086"/>
    <x v="1078"/>
    <x v="2"/>
    <x v="1"/>
    <n v="513.41999999999996"/>
    <s v="401 Main St"/>
    <s v="Online"/>
    <x v="3"/>
    <s v="Instagram"/>
    <n v="1026.8399999999999"/>
  </r>
  <r>
    <s v="ORD201087"/>
    <x v="1079"/>
    <x v="5"/>
    <x v="3"/>
    <n v="693.07"/>
    <s v="530 Main St"/>
    <s v="Online"/>
    <x v="2"/>
    <s v="Instagram"/>
    <n v="2772.28"/>
  </r>
  <r>
    <s v="ORD201088"/>
    <x v="1080"/>
    <x v="6"/>
    <x v="4"/>
    <n v="491.43"/>
    <s v="213 Main St"/>
    <s v="Gift Card"/>
    <x v="5"/>
    <s v="Instagram"/>
    <n v="1474.29"/>
  </r>
  <r>
    <s v="ORD201089"/>
    <x v="1081"/>
    <x v="2"/>
    <x v="1"/>
    <n v="599.74"/>
    <s v="440 Main St"/>
    <s v="Gift Card"/>
    <x v="7"/>
    <s v="Instagram"/>
    <n v="1199.48"/>
  </r>
  <r>
    <s v="ORD201090"/>
    <x v="1082"/>
    <x v="0"/>
    <x v="1"/>
    <n v="650.25"/>
    <s v="996 Main St"/>
    <s v="Gift Card"/>
    <x v="5"/>
    <s v="Instagram"/>
    <n v="1300.5"/>
  </r>
  <r>
    <s v="ORD201091"/>
    <x v="1083"/>
    <x v="5"/>
    <x v="4"/>
    <n v="209.48"/>
    <s v="123 Main St"/>
    <s v="Debit Card"/>
    <x v="4"/>
    <s v="Email"/>
    <n v="628.43999999999994"/>
  </r>
  <r>
    <s v="ORD201092"/>
    <x v="1084"/>
    <x v="5"/>
    <x v="0"/>
    <n v="209.2"/>
    <s v="930 Main St"/>
    <s v="Debit Card"/>
    <x v="5"/>
    <s v="Email"/>
    <n v="1046"/>
  </r>
  <r>
    <s v="ORD201093"/>
    <x v="1085"/>
    <x v="1"/>
    <x v="3"/>
    <n v="197.36"/>
    <s v="557 Main St"/>
    <s v="Gift Card"/>
    <x v="6"/>
    <s v="Instagram"/>
    <n v="789.44"/>
  </r>
  <r>
    <s v="ORD201094"/>
    <x v="1086"/>
    <x v="4"/>
    <x v="3"/>
    <n v="648.91"/>
    <s v="615 Main St"/>
    <s v="Credit Card"/>
    <x v="5"/>
    <s v="Instagram"/>
    <n v="2595.64"/>
  </r>
  <r>
    <s v="ORD201095"/>
    <x v="1087"/>
    <x v="1"/>
    <x v="1"/>
    <n v="441.54"/>
    <s v="397 Main St"/>
    <s v="Online"/>
    <x v="7"/>
    <s v="Email"/>
    <n v="883.08"/>
  </r>
  <r>
    <s v="ORD201096"/>
    <x v="1088"/>
    <x v="2"/>
    <x v="1"/>
    <n v="464.92"/>
    <s v="782 Main St"/>
    <s v="Debit Card"/>
    <x v="7"/>
    <s v="Facebook"/>
    <n v="929.84"/>
  </r>
  <r>
    <s v="ORD201097"/>
    <x v="1089"/>
    <x v="0"/>
    <x v="0"/>
    <n v="506.45"/>
    <s v="344 Main St"/>
    <s v="Gift Card"/>
    <x v="0"/>
    <s v="Google"/>
    <n v="2532.25"/>
  </r>
  <r>
    <s v="ORD201098"/>
    <x v="1090"/>
    <x v="0"/>
    <x v="3"/>
    <n v="255.86"/>
    <s v="155 Main St"/>
    <s v="Credit Card"/>
    <x v="0"/>
    <s v="Email"/>
    <n v="1023.44"/>
  </r>
  <r>
    <s v="ORD201099"/>
    <x v="1091"/>
    <x v="5"/>
    <x v="1"/>
    <n v="125.23"/>
    <s v="272 Main St"/>
    <s v="Cash"/>
    <x v="1"/>
    <s v="Email"/>
    <n v="250.46"/>
  </r>
  <r>
    <s v="ORD201100"/>
    <x v="1092"/>
    <x v="5"/>
    <x v="0"/>
    <n v="38.11"/>
    <s v="428 Main St"/>
    <s v="Debit Card"/>
    <x v="5"/>
    <s v="Instagram"/>
    <n v="190.55"/>
  </r>
  <r>
    <s v="ORD201101"/>
    <x v="1093"/>
    <x v="0"/>
    <x v="4"/>
    <n v="161.97"/>
    <s v="904 Main St"/>
    <s v="Cash"/>
    <x v="4"/>
    <s v="Email"/>
    <n v="485.91"/>
  </r>
  <r>
    <s v="ORD201102"/>
    <x v="14"/>
    <x v="3"/>
    <x v="3"/>
    <n v="347.17"/>
    <s v="997 Main St"/>
    <s v="Debit Card"/>
    <x v="2"/>
    <s v="Instagram"/>
    <n v="1388.68"/>
  </r>
  <r>
    <s v="ORD201103"/>
    <x v="1094"/>
    <x v="5"/>
    <x v="3"/>
    <n v="276.32"/>
    <s v="129 Main St"/>
    <s v="Online"/>
    <x v="3"/>
    <s v="Google"/>
    <n v="1105.28"/>
  </r>
  <r>
    <s v="ORD201104"/>
    <x v="1095"/>
    <x v="2"/>
    <x v="3"/>
    <n v="314.76"/>
    <s v="850 Main St"/>
    <s v="Online"/>
    <x v="2"/>
    <s v="Instagram"/>
    <n v="1259.04"/>
  </r>
  <r>
    <s v="ORD201105"/>
    <x v="1096"/>
    <x v="2"/>
    <x v="4"/>
    <n v="475.69"/>
    <s v="884 Main St"/>
    <s v="Gift Card"/>
    <x v="1"/>
    <s v="Google"/>
    <n v="1427.07"/>
  </r>
  <r>
    <s v="ORD201106"/>
    <x v="1097"/>
    <x v="3"/>
    <x v="2"/>
    <n v="372.8"/>
    <s v="903 Main St"/>
    <s v="Cash"/>
    <x v="5"/>
    <s v="Facebook"/>
    <n v="372.8"/>
  </r>
  <r>
    <s v="ORD201107"/>
    <x v="1098"/>
    <x v="2"/>
    <x v="1"/>
    <n v="63.21"/>
    <s v="282 Main St"/>
    <s v="Online"/>
    <x v="4"/>
    <s v="Google"/>
    <n v="126.42"/>
  </r>
  <r>
    <s v="ORD201108"/>
    <x v="1099"/>
    <x v="5"/>
    <x v="2"/>
    <n v="634.94000000000005"/>
    <s v="462 Main St"/>
    <s v="Online"/>
    <x v="3"/>
    <s v="Instagram"/>
    <n v="634.94000000000005"/>
  </r>
  <r>
    <s v="ORD201109"/>
    <x v="1100"/>
    <x v="4"/>
    <x v="3"/>
    <n v="77.47"/>
    <s v="474 Main St"/>
    <s v="Gift Card"/>
    <x v="0"/>
    <s v="Instagram"/>
    <n v="309.88"/>
  </r>
  <r>
    <s v="ORD201110"/>
    <x v="1101"/>
    <x v="3"/>
    <x v="4"/>
    <n v="84.31"/>
    <s v="912 Main St"/>
    <s v="Credit Card"/>
    <x v="1"/>
    <s v="Email"/>
    <n v="252.93"/>
  </r>
  <r>
    <s v="ORD201111"/>
    <x v="1102"/>
    <x v="0"/>
    <x v="3"/>
    <n v="234.45"/>
    <s v="362 Main St"/>
    <s v="Online"/>
    <x v="6"/>
    <s v="Instagram"/>
    <n v="937.8"/>
  </r>
  <r>
    <s v="ORD201112"/>
    <x v="1103"/>
    <x v="6"/>
    <x v="2"/>
    <n v="356.81"/>
    <s v="563 Main St"/>
    <s v="Online"/>
    <x v="9"/>
    <s v="Instagram"/>
    <n v="356.81"/>
  </r>
  <r>
    <s v="ORD201113"/>
    <x v="1104"/>
    <x v="6"/>
    <x v="3"/>
    <n v="209.99"/>
    <s v="168 Main St"/>
    <s v="Cash"/>
    <x v="2"/>
    <s v="Google"/>
    <n v="839.96"/>
  </r>
  <r>
    <s v="ORD201114"/>
    <x v="1105"/>
    <x v="2"/>
    <x v="4"/>
    <n v="659.88"/>
    <s v="609 Main St"/>
    <s v="Gift Card"/>
    <x v="1"/>
    <s v="Google"/>
    <n v="1979.64"/>
  </r>
  <r>
    <s v="ORD201115"/>
    <x v="1106"/>
    <x v="5"/>
    <x v="1"/>
    <n v="336.32"/>
    <s v="562 Main St"/>
    <s v="Online"/>
    <x v="1"/>
    <s v="Google"/>
    <n v="672.64"/>
  </r>
  <r>
    <s v="ORD201116"/>
    <x v="1107"/>
    <x v="4"/>
    <x v="1"/>
    <n v="531.49"/>
    <s v="562 Main St"/>
    <s v="Credit Card"/>
    <x v="0"/>
    <s v="Facebook"/>
    <n v="1062.98"/>
  </r>
  <r>
    <s v="ORD201117"/>
    <x v="1108"/>
    <x v="3"/>
    <x v="4"/>
    <n v="588.44000000000005"/>
    <s v="858 Main St"/>
    <s v="Gift Card"/>
    <x v="2"/>
    <s v="Google"/>
    <n v="1765.32"/>
  </r>
  <r>
    <s v="ORD201118"/>
    <x v="1109"/>
    <x v="1"/>
    <x v="4"/>
    <n v="251.48"/>
    <s v="359 Main St"/>
    <s v="Credit Card"/>
    <x v="4"/>
    <s v="Email"/>
    <n v="754.43999999999994"/>
  </r>
  <r>
    <s v="ORD201119"/>
    <x v="1110"/>
    <x v="5"/>
    <x v="2"/>
    <n v="684.65"/>
    <s v="250 Main St"/>
    <s v="Credit Card"/>
    <x v="9"/>
    <s v="Email"/>
    <n v="684.65"/>
  </r>
  <r>
    <s v="ORD201120"/>
    <x v="1111"/>
    <x v="2"/>
    <x v="2"/>
    <n v="195.86"/>
    <s v="267 Main St"/>
    <s v="Online"/>
    <x v="1"/>
    <s v="Facebook"/>
    <n v="195.86"/>
  </r>
  <r>
    <s v="ORD201121"/>
    <x v="1112"/>
    <x v="1"/>
    <x v="4"/>
    <n v="50.34"/>
    <s v="393 Main St"/>
    <s v="Gift Card"/>
    <x v="1"/>
    <s v="Instagram"/>
    <n v="151.02000000000001"/>
  </r>
  <r>
    <s v="ORD201122"/>
    <x v="266"/>
    <x v="0"/>
    <x v="0"/>
    <n v="678.19"/>
    <s v="766 Main St"/>
    <s v="Online"/>
    <x v="2"/>
    <s v="Facebook"/>
    <n v="3390.95"/>
  </r>
  <r>
    <s v="ORD201123"/>
    <x v="1113"/>
    <x v="2"/>
    <x v="4"/>
    <n v="554.25"/>
    <s v="843 Main St"/>
    <s v="Debit Card"/>
    <x v="5"/>
    <s v="Referral"/>
    <n v="1662.75"/>
  </r>
  <r>
    <s v="ORD201124"/>
    <x v="1114"/>
    <x v="3"/>
    <x v="3"/>
    <n v="576.87"/>
    <s v="888 Main St"/>
    <s v="Gift Card"/>
    <x v="3"/>
    <s v="Instagram"/>
    <n v="2307.48"/>
  </r>
  <r>
    <s v="ORD201125"/>
    <x v="1115"/>
    <x v="6"/>
    <x v="3"/>
    <n v="408.36"/>
    <s v="156 Main St"/>
    <s v="Gift Card"/>
    <x v="4"/>
    <s v="Referral"/>
    <n v="1633.44"/>
  </r>
  <r>
    <s v="ORD201126"/>
    <x v="1116"/>
    <x v="1"/>
    <x v="0"/>
    <n v="190.11"/>
    <s v="325 Main St"/>
    <s v="Cash"/>
    <x v="0"/>
    <s v="Google"/>
    <n v="950.55000000000007"/>
  </r>
  <r>
    <s v="ORD201127"/>
    <x v="1117"/>
    <x v="4"/>
    <x v="4"/>
    <n v="602.75"/>
    <s v="920 Main St"/>
    <s v="Credit Card"/>
    <x v="5"/>
    <s v="Email"/>
    <n v="1808.25"/>
  </r>
  <r>
    <s v="ORD201128"/>
    <x v="1118"/>
    <x v="0"/>
    <x v="4"/>
    <n v="646.79"/>
    <s v="447 Main St"/>
    <s v="Cash"/>
    <x v="3"/>
    <s v="Google"/>
    <n v="1940.37"/>
  </r>
  <r>
    <s v="ORD201129"/>
    <x v="1119"/>
    <x v="3"/>
    <x v="3"/>
    <n v="418.71"/>
    <s v="239 Main St"/>
    <s v="Cash"/>
    <x v="2"/>
    <s v="Instagram"/>
    <n v="1674.84"/>
  </r>
  <r>
    <s v="ORD201130"/>
    <x v="1120"/>
    <x v="5"/>
    <x v="1"/>
    <n v="323.45"/>
    <s v="533 Main St"/>
    <s v="Credit Card"/>
    <x v="3"/>
    <s v="Instagram"/>
    <n v="646.9"/>
  </r>
  <r>
    <s v="ORD201131"/>
    <x v="1121"/>
    <x v="1"/>
    <x v="2"/>
    <n v="694.5"/>
    <s v="195 Main St"/>
    <s v="Credit Card"/>
    <x v="1"/>
    <s v="Facebook"/>
    <n v="694.5"/>
  </r>
  <r>
    <s v="ORD201132"/>
    <x v="1122"/>
    <x v="3"/>
    <x v="1"/>
    <n v="337.32"/>
    <s v="948 Main St"/>
    <s v="Credit Card"/>
    <x v="4"/>
    <s v="Email"/>
    <n v="674.64"/>
  </r>
  <r>
    <s v="ORD201133"/>
    <x v="1123"/>
    <x v="4"/>
    <x v="1"/>
    <n v="467.91"/>
    <s v="432 Main St"/>
    <s v="Gift Card"/>
    <x v="3"/>
    <s v="Facebook"/>
    <n v="935.82"/>
  </r>
  <r>
    <s v="ORD201134"/>
    <x v="1124"/>
    <x v="6"/>
    <x v="3"/>
    <n v="38.28"/>
    <s v="950 Main St"/>
    <s v="Debit Card"/>
    <x v="4"/>
    <s v="Facebook"/>
    <n v="153.12"/>
  </r>
  <r>
    <s v="ORD201135"/>
    <x v="1125"/>
    <x v="4"/>
    <x v="1"/>
    <n v="73.41"/>
    <s v="562 Main St"/>
    <s v="Online"/>
    <x v="7"/>
    <s v="Google"/>
    <n v="146.82"/>
  </r>
  <r>
    <s v="ORD201136"/>
    <x v="1126"/>
    <x v="2"/>
    <x v="4"/>
    <n v="668.33"/>
    <s v="799 Main St"/>
    <s v="Gift Card"/>
    <x v="4"/>
    <s v="Facebook"/>
    <n v="2004.99"/>
  </r>
  <r>
    <s v="ORD201137"/>
    <x v="1127"/>
    <x v="4"/>
    <x v="3"/>
    <n v="410.21"/>
    <s v="841 Main St"/>
    <s v="Cash"/>
    <x v="3"/>
    <s v="Instagram"/>
    <n v="1640.84"/>
  </r>
  <r>
    <s v="ORD201138"/>
    <x v="1128"/>
    <x v="6"/>
    <x v="3"/>
    <n v="294.41000000000003"/>
    <s v="188 Main St"/>
    <s v="Debit Card"/>
    <x v="4"/>
    <s v="Instagram"/>
    <n v="1177.6400000000001"/>
  </r>
  <r>
    <s v="ORD201139"/>
    <x v="1042"/>
    <x v="3"/>
    <x v="4"/>
    <n v="501.82"/>
    <s v="568 Main St"/>
    <s v="Gift Card"/>
    <x v="4"/>
    <s v="Email"/>
    <n v="1505.46"/>
  </r>
  <r>
    <s v="ORD201140"/>
    <x v="1129"/>
    <x v="4"/>
    <x v="1"/>
    <n v="552.83000000000004"/>
    <s v="904 Main St"/>
    <s v="Credit Card"/>
    <x v="1"/>
    <s v="Referral"/>
    <n v="1105.6600000000001"/>
  </r>
  <r>
    <s v="ORD201141"/>
    <x v="1130"/>
    <x v="3"/>
    <x v="4"/>
    <n v="498.66"/>
    <s v="382 Main St"/>
    <s v="Cash"/>
    <x v="5"/>
    <s v="Email"/>
    <n v="1495.98"/>
  </r>
  <r>
    <s v="ORD201142"/>
    <x v="1131"/>
    <x v="1"/>
    <x v="3"/>
    <n v="695.1"/>
    <s v="484 Main St"/>
    <s v="Debit Card"/>
    <x v="2"/>
    <s v="Email"/>
    <n v="2780.4"/>
  </r>
  <r>
    <s v="ORD201143"/>
    <x v="1132"/>
    <x v="3"/>
    <x v="2"/>
    <n v="381.61"/>
    <s v="114 Main St"/>
    <s v="Debit Card"/>
    <x v="3"/>
    <s v="Email"/>
    <n v="381.61"/>
  </r>
  <r>
    <s v="ORD201144"/>
    <x v="1133"/>
    <x v="6"/>
    <x v="0"/>
    <n v="507.94"/>
    <s v="292 Main St"/>
    <s v="Online"/>
    <x v="6"/>
    <s v="Facebook"/>
    <n v="2539.6999999999998"/>
  </r>
  <r>
    <s v="ORD201145"/>
    <x v="1134"/>
    <x v="6"/>
    <x v="4"/>
    <n v="571.53"/>
    <s v="821 Main St"/>
    <s v="Debit Card"/>
    <x v="5"/>
    <s v="Facebook"/>
    <n v="1714.59"/>
  </r>
  <r>
    <s v="ORD201146"/>
    <x v="1135"/>
    <x v="0"/>
    <x v="0"/>
    <n v="421.44"/>
    <s v="286 Main St"/>
    <s v="Cash"/>
    <x v="3"/>
    <s v="Instagram"/>
    <n v="2107.1999999999998"/>
  </r>
  <r>
    <s v="ORD201147"/>
    <x v="1136"/>
    <x v="3"/>
    <x v="1"/>
    <n v="588.29999999999995"/>
    <s v="234 Main St"/>
    <s v="Online"/>
    <x v="7"/>
    <s v="Email"/>
    <n v="1176.5999999999999"/>
  </r>
  <r>
    <s v="ORD201148"/>
    <x v="1137"/>
    <x v="1"/>
    <x v="2"/>
    <n v="355.15"/>
    <s v="442 Main St"/>
    <s v="Cash"/>
    <x v="7"/>
    <s v="Email"/>
    <n v="355.15"/>
  </r>
  <r>
    <s v="ORD201149"/>
    <x v="1138"/>
    <x v="3"/>
    <x v="1"/>
    <n v="695.29"/>
    <s v="957 Main St"/>
    <s v="Credit Card"/>
    <x v="5"/>
    <s v="Instagram"/>
    <n v="1390.58"/>
  </r>
  <r>
    <s v="ORD201150"/>
    <x v="1139"/>
    <x v="6"/>
    <x v="3"/>
    <n v="302.64999999999998"/>
    <s v="119 Main St"/>
    <s v="Credit Card"/>
    <x v="2"/>
    <s v="Referral"/>
    <n v="1210.5999999999999"/>
  </r>
  <r>
    <s v="ORD201151"/>
    <x v="1140"/>
    <x v="3"/>
    <x v="1"/>
    <n v="608.04"/>
    <s v="962 Main St"/>
    <s v="Cash"/>
    <x v="4"/>
    <s v="Google"/>
    <n v="1216.08"/>
  </r>
  <r>
    <s v="ORD201152"/>
    <x v="1141"/>
    <x v="2"/>
    <x v="1"/>
    <n v="344.18"/>
    <s v="533 Main St"/>
    <s v="Credit Card"/>
    <x v="0"/>
    <s v="Referral"/>
    <n v="688.36"/>
  </r>
  <r>
    <s v="ORD201153"/>
    <x v="1142"/>
    <x v="0"/>
    <x v="3"/>
    <n v="696.71"/>
    <s v="276 Main St"/>
    <s v="Debit Card"/>
    <x v="4"/>
    <s v="Instagram"/>
    <n v="2786.84"/>
  </r>
  <r>
    <s v="ORD201154"/>
    <x v="1143"/>
    <x v="0"/>
    <x v="4"/>
    <n v="198.63"/>
    <s v="593 Main St"/>
    <s v="Cash"/>
    <x v="2"/>
    <s v="Instagram"/>
    <n v="595.89"/>
  </r>
  <r>
    <s v="ORD201155"/>
    <x v="1144"/>
    <x v="4"/>
    <x v="3"/>
    <n v="534.57000000000005"/>
    <s v="667 Main St"/>
    <s v="Credit Card"/>
    <x v="5"/>
    <s v="Facebook"/>
    <n v="2138.2800000000002"/>
  </r>
  <r>
    <s v="ORD201156"/>
    <x v="1145"/>
    <x v="5"/>
    <x v="3"/>
    <n v="690.78"/>
    <s v="980 Main St"/>
    <s v="Credit Card"/>
    <x v="6"/>
    <s v="Referral"/>
    <n v="2763.12"/>
  </r>
  <r>
    <s v="ORD201157"/>
    <x v="1146"/>
    <x v="0"/>
    <x v="4"/>
    <n v="301.55"/>
    <s v="242 Main St"/>
    <s v="Debit Card"/>
    <x v="3"/>
    <s v="Google"/>
    <n v="904.65000000000009"/>
  </r>
  <r>
    <s v="ORD201158"/>
    <x v="1147"/>
    <x v="0"/>
    <x v="3"/>
    <n v="27.42"/>
    <s v="661 Main St"/>
    <s v="Debit Card"/>
    <x v="4"/>
    <s v="Referral"/>
    <n v="109.68"/>
  </r>
  <r>
    <s v="ORD201159"/>
    <x v="1148"/>
    <x v="6"/>
    <x v="3"/>
    <n v="466.7"/>
    <s v="874 Main St"/>
    <s v="Debit Card"/>
    <x v="2"/>
    <s v="Instagram"/>
    <n v="1866.8"/>
  </r>
  <r>
    <s v="ORD201160"/>
    <x v="1149"/>
    <x v="6"/>
    <x v="2"/>
    <n v="541.64"/>
    <s v="449 Main St"/>
    <s v="Debit Card"/>
    <x v="3"/>
    <s v="Email"/>
    <n v="541.64"/>
  </r>
  <r>
    <s v="ORD201161"/>
    <x v="1150"/>
    <x v="1"/>
    <x v="2"/>
    <n v="11.39"/>
    <s v="826 Main St"/>
    <s v="Cash"/>
    <x v="5"/>
    <s v="Email"/>
    <n v="11.39"/>
  </r>
  <r>
    <s v="ORD201162"/>
    <x v="1151"/>
    <x v="1"/>
    <x v="1"/>
    <n v="224.37"/>
    <s v="251 Main St"/>
    <s v="Debit Card"/>
    <x v="1"/>
    <s v="Referral"/>
    <n v="448.74"/>
  </r>
  <r>
    <s v="ORD201163"/>
    <x v="1152"/>
    <x v="5"/>
    <x v="4"/>
    <n v="306.29000000000002"/>
    <s v="966 Main St"/>
    <s v="Credit Card"/>
    <x v="0"/>
    <s v="Instagram"/>
    <n v="918.87000000000012"/>
  </r>
  <r>
    <s v="ORD201164"/>
    <x v="1153"/>
    <x v="2"/>
    <x v="0"/>
    <n v="315.57"/>
    <s v="340 Main St"/>
    <s v="Debit Card"/>
    <x v="5"/>
    <s v="Email"/>
    <n v="1577.85"/>
  </r>
  <r>
    <s v="ORD201165"/>
    <x v="1154"/>
    <x v="3"/>
    <x v="4"/>
    <n v="223.79"/>
    <s v="617 Main St"/>
    <s v="Debit Card"/>
    <x v="1"/>
    <s v="Google"/>
    <n v="671.37"/>
  </r>
  <r>
    <s v="ORD201166"/>
    <x v="1155"/>
    <x v="3"/>
    <x v="4"/>
    <n v="324.47000000000003"/>
    <s v="971 Main St"/>
    <s v="Cash"/>
    <x v="4"/>
    <s v="Email"/>
    <n v="973.41000000000008"/>
  </r>
  <r>
    <s v="ORD201167"/>
    <x v="1156"/>
    <x v="4"/>
    <x v="1"/>
    <n v="92.87"/>
    <s v="360 Main St"/>
    <s v="Credit Card"/>
    <x v="3"/>
    <s v="Facebook"/>
    <n v="185.74"/>
  </r>
  <r>
    <s v="ORD201168"/>
    <x v="1157"/>
    <x v="5"/>
    <x v="1"/>
    <n v="331.42"/>
    <s v="297 Main St"/>
    <s v="Credit Card"/>
    <x v="5"/>
    <s v="Google"/>
    <n v="662.84"/>
  </r>
  <r>
    <s v="ORD201169"/>
    <x v="1158"/>
    <x v="3"/>
    <x v="2"/>
    <n v="525.42999999999995"/>
    <s v="643 Main St"/>
    <s v="Cash"/>
    <x v="7"/>
    <s v="Instagram"/>
    <n v="525.42999999999995"/>
  </r>
  <r>
    <s v="ORD201170"/>
    <x v="1159"/>
    <x v="4"/>
    <x v="1"/>
    <n v="697.19"/>
    <s v="762 Main St"/>
    <s v="Cash"/>
    <x v="0"/>
    <s v="Email"/>
    <n v="1394.38"/>
  </r>
  <r>
    <s v="ORD201171"/>
    <x v="1160"/>
    <x v="1"/>
    <x v="3"/>
    <n v="518.4"/>
    <s v="699 Main St"/>
    <s v="Credit Card"/>
    <x v="0"/>
    <s v="Facebook"/>
    <n v="2073.6"/>
  </r>
  <r>
    <s v="ORD201172"/>
    <x v="1161"/>
    <x v="6"/>
    <x v="4"/>
    <n v="131.96"/>
    <s v="745 Main St"/>
    <s v="Credit Card"/>
    <x v="2"/>
    <s v="Instagram"/>
    <n v="395.88"/>
  </r>
  <r>
    <s v="ORD201173"/>
    <x v="1162"/>
    <x v="0"/>
    <x v="2"/>
    <n v="208.36"/>
    <s v="703 Main St"/>
    <s v="Online"/>
    <x v="4"/>
    <s v="Email"/>
    <n v="208.36"/>
  </r>
  <r>
    <s v="ORD201174"/>
    <x v="1163"/>
    <x v="4"/>
    <x v="4"/>
    <n v="222.34"/>
    <s v="105 Main St"/>
    <s v="Credit Card"/>
    <x v="3"/>
    <s v="Email"/>
    <n v="667.02"/>
  </r>
  <r>
    <s v="ORD201175"/>
    <x v="1164"/>
    <x v="4"/>
    <x v="4"/>
    <n v="91.74"/>
    <s v="368 Main St"/>
    <s v="Debit Card"/>
    <x v="2"/>
    <s v="Referral"/>
    <n v="275.22000000000003"/>
  </r>
  <r>
    <s v="ORD201176"/>
    <x v="1165"/>
    <x v="2"/>
    <x v="1"/>
    <n v="213.83"/>
    <s v="374 Main St"/>
    <s v="Debit Card"/>
    <x v="7"/>
    <s v="Email"/>
    <n v="427.66"/>
  </r>
  <r>
    <s v="ORD201177"/>
    <x v="1166"/>
    <x v="4"/>
    <x v="2"/>
    <n v="127.55"/>
    <s v="433 Main St"/>
    <s v="Cash"/>
    <x v="1"/>
    <s v="Referral"/>
    <n v="127.55"/>
  </r>
  <r>
    <s v="ORD201178"/>
    <x v="1167"/>
    <x v="0"/>
    <x v="2"/>
    <n v="70.239999999999995"/>
    <s v="456 Main St"/>
    <s v="Credit Card"/>
    <x v="4"/>
    <s v="Google"/>
    <n v="70.239999999999995"/>
  </r>
  <r>
    <s v="ORD201179"/>
    <x v="1168"/>
    <x v="5"/>
    <x v="0"/>
    <n v="518.54999999999995"/>
    <s v="907 Main St"/>
    <s v="Credit Card"/>
    <x v="5"/>
    <s v="Instagram"/>
    <n v="2592.75"/>
  </r>
  <r>
    <s v="ORD201180"/>
    <x v="1169"/>
    <x v="3"/>
    <x v="3"/>
    <n v="298.36"/>
    <s v="722 Main St"/>
    <s v="Debit Card"/>
    <x v="2"/>
    <s v="Google"/>
    <n v="1193.44"/>
  </r>
  <r>
    <s v="ORD201181"/>
    <x v="1170"/>
    <x v="6"/>
    <x v="4"/>
    <n v="158.74"/>
    <s v="293 Main St"/>
    <s v="Online"/>
    <x v="0"/>
    <s v="Instagram"/>
    <n v="476.22"/>
  </r>
  <r>
    <s v="ORD201182"/>
    <x v="1171"/>
    <x v="3"/>
    <x v="1"/>
    <n v="420.29"/>
    <s v="700 Main St"/>
    <s v="Gift Card"/>
    <x v="1"/>
    <s v="Google"/>
    <n v="840.58"/>
  </r>
  <r>
    <s v="ORD201183"/>
    <x v="1172"/>
    <x v="6"/>
    <x v="2"/>
    <n v="281.52"/>
    <s v="460 Main St"/>
    <s v="Gift Card"/>
    <x v="5"/>
    <s v="Referral"/>
    <n v="281.52"/>
  </r>
  <r>
    <s v="ORD201184"/>
    <x v="1173"/>
    <x v="5"/>
    <x v="2"/>
    <n v="204.08"/>
    <s v="979 Main St"/>
    <s v="Gift Card"/>
    <x v="4"/>
    <s v="Google"/>
    <n v="204.08"/>
  </r>
  <r>
    <s v="ORD201185"/>
    <x v="1174"/>
    <x v="3"/>
    <x v="2"/>
    <n v="343.31"/>
    <s v="777 Main St"/>
    <s v="Gift Card"/>
    <x v="5"/>
    <s v="Google"/>
    <n v="343.31"/>
  </r>
  <r>
    <s v="ORD201186"/>
    <x v="1175"/>
    <x v="0"/>
    <x v="2"/>
    <n v="163.32"/>
    <s v="676 Main St"/>
    <s v="Cash"/>
    <x v="5"/>
    <s v="Facebook"/>
    <n v="163.32"/>
  </r>
  <r>
    <s v="ORD201187"/>
    <x v="1176"/>
    <x v="6"/>
    <x v="1"/>
    <n v="184.6"/>
    <s v="562 Main St"/>
    <s v="Gift Card"/>
    <x v="0"/>
    <s v="Email"/>
    <n v="369.2"/>
  </r>
  <r>
    <s v="ORD201188"/>
    <x v="1177"/>
    <x v="4"/>
    <x v="1"/>
    <n v="371.29"/>
    <s v="924 Main St"/>
    <s v="Gift Card"/>
    <x v="3"/>
    <s v="Facebook"/>
    <n v="742.58"/>
  </r>
  <r>
    <s v="ORD201189"/>
    <x v="1178"/>
    <x v="2"/>
    <x v="0"/>
    <n v="389.22"/>
    <s v="149 Main St"/>
    <s v="Cash"/>
    <x v="0"/>
    <s v="Referral"/>
    <n v="1946.1"/>
  </r>
  <r>
    <s v="ORD201190"/>
    <x v="1179"/>
    <x v="6"/>
    <x v="4"/>
    <n v="616.39"/>
    <s v="754 Main St"/>
    <s v="Credit Card"/>
    <x v="5"/>
    <s v="Instagram"/>
    <n v="1849.17"/>
  </r>
  <r>
    <s v="ORD201191"/>
    <x v="1180"/>
    <x v="6"/>
    <x v="3"/>
    <n v="376.43"/>
    <s v="809 Main St"/>
    <s v="Gift Card"/>
    <x v="3"/>
    <s v="Instagram"/>
    <n v="1505.72"/>
  </r>
  <r>
    <s v="ORD201192"/>
    <x v="1181"/>
    <x v="3"/>
    <x v="4"/>
    <n v="432.85"/>
    <s v="999 Main St"/>
    <s v="Online"/>
    <x v="4"/>
    <s v="Instagram"/>
    <n v="1298.55"/>
  </r>
  <r>
    <s v="ORD201193"/>
    <x v="1182"/>
    <x v="2"/>
    <x v="2"/>
    <n v="687.89"/>
    <s v="348 Main St"/>
    <s v="Cash"/>
    <x v="9"/>
    <s v="Email"/>
    <n v="687.89"/>
  </r>
  <r>
    <s v="ORD201194"/>
    <x v="1183"/>
    <x v="4"/>
    <x v="4"/>
    <n v="189.44"/>
    <s v="725 Main St"/>
    <s v="Cash"/>
    <x v="4"/>
    <s v="Email"/>
    <n v="568.31999999999994"/>
  </r>
  <r>
    <s v="ORD201195"/>
    <x v="1184"/>
    <x v="6"/>
    <x v="2"/>
    <n v="107.04"/>
    <s v="392 Main St"/>
    <s v="Credit Card"/>
    <x v="5"/>
    <s v="Google"/>
    <n v="107.04"/>
  </r>
  <r>
    <s v="ORD201196"/>
    <x v="1185"/>
    <x v="0"/>
    <x v="1"/>
    <n v="662.53"/>
    <s v="778 Main St"/>
    <s v="Online"/>
    <x v="3"/>
    <s v="Facebook"/>
    <n v="1325.06"/>
  </r>
  <r>
    <s v="ORD201197"/>
    <x v="1186"/>
    <x v="2"/>
    <x v="1"/>
    <n v="436.84"/>
    <s v="275 Main St"/>
    <s v="Online"/>
    <x v="7"/>
    <s v="Instagram"/>
    <n v="873.68"/>
  </r>
  <r>
    <s v="ORD201198"/>
    <x v="1187"/>
    <x v="3"/>
    <x v="3"/>
    <n v="262.52"/>
    <s v="509 Main St"/>
    <s v="Debit Card"/>
    <x v="4"/>
    <s v="Instagram"/>
    <n v="1050.08"/>
  </r>
  <r>
    <s v="ORD201199"/>
    <x v="1188"/>
    <x v="2"/>
    <x v="3"/>
    <n v="560.58000000000004"/>
    <s v="201 Main St"/>
    <s v="Gift Card"/>
    <x v="5"/>
    <s v="Referral"/>
    <n v="2242.3200000000002"/>
  </r>
  <r>
    <m/>
    <x v="1189"/>
    <x v="7"/>
    <x v="5"/>
    <m/>
    <m/>
    <m/>
    <x v="10"/>
    <m/>
    <m/>
  </r>
  <r>
    <m/>
    <x v="1189"/>
    <x v="7"/>
    <x v="5"/>
    <m/>
    <m/>
    <m/>
    <x v="1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F6FF6D-EFD4-4C34-8DE3-CA16789348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0">
    <pivotField showAll="0"/>
    <pivotField showAll="0"/>
    <pivotField axis="axisRow" showAll="0">
      <items count="9">
        <item x="3"/>
        <item x="6"/>
        <item x="5"/>
        <item x="0"/>
        <item x="1"/>
        <item x="4"/>
        <item x="2"/>
        <item x="7"/>
        <item t="default"/>
      </items>
    </pivotField>
    <pivotField showAll="0"/>
    <pivotField dataField="1" showAll="0">
      <items count="1195">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x="1193"/>
        <item t="default"/>
      </items>
    </pivotField>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Sum of UnitPrice" fld="4"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1952D-7CD0-4B38-AA37-FC07EA01675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0">
    <pivotField dataField="1" showAll="0">
      <items count="1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axis="axisRow"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showAll="0"/>
    <pivotField showAll="0"/>
    <pivotField showAll="0"/>
    <pivotField showAll="0"/>
    <pivotField showAll="0"/>
    <pivotField showAll="0"/>
    <pivotField axis="axisRow" showAll="0">
      <items count="7">
        <item sd="0" x="2"/>
        <item sd="0" x="3"/>
        <item sd="0" x="4"/>
        <item sd="0" x="0"/>
        <item sd="0" x="1"/>
        <item sd="0" x="5"/>
        <item t="default" sd="0"/>
      </items>
    </pivotField>
    <pivotField showAll="0"/>
  </pivotFields>
  <rowFields count="2">
    <field x="8"/>
    <field x="1"/>
  </rowFields>
  <rowItems count="7">
    <i>
      <x/>
    </i>
    <i>
      <x v="1"/>
    </i>
    <i>
      <x v="2"/>
    </i>
    <i>
      <x v="3"/>
    </i>
    <i>
      <x v="4"/>
    </i>
    <i>
      <x v="5"/>
    </i>
    <i t="grand">
      <x/>
    </i>
  </rowItems>
  <colItems count="1">
    <i/>
  </colItems>
  <dataFields count="1">
    <dataField name="Count of OrderID" fld="0" subtotal="count"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8" count="1" selected="0">
            <x v="0"/>
          </reference>
        </references>
      </pivotArea>
    </chartFormat>
    <chartFormat chart="4" format="16">
      <pivotArea type="data" outline="0" fieldPosition="0">
        <references count="2">
          <reference field="4294967294" count="1" selected="0">
            <x v="0"/>
          </reference>
          <reference field="8" count="1" selected="0">
            <x v="1"/>
          </reference>
        </references>
      </pivotArea>
    </chartFormat>
    <chartFormat chart="4" format="17">
      <pivotArea type="data" outline="0" fieldPosition="0">
        <references count="2">
          <reference field="4294967294" count="1" selected="0">
            <x v="0"/>
          </reference>
          <reference field="8" count="1" selected="0">
            <x v="2"/>
          </reference>
        </references>
      </pivotArea>
    </chartFormat>
    <chartFormat chart="4" format="18">
      <pivotArea type="data" outline="0" fieldPosition="0">
        <references count="2">
          <reference field="4294967294" count="1" selected="0">
            <x v="0"/>
          </reference>
          <reference field="8" count="1" selected="0">
            <x v="3"/>
          </reference>
        </references>
      </pivotArea>
    </chartFormat>
    <chartFormat chart="4" format="19">
      <pivotArea type="data" outline="0" fieldPosition="0">
        <references count="2">
          <reference field="4294967294" count="1" selected="0">
            <x v="0"/>
          </reference>
          <reference field="8" count="1" selected="0">
            <x v="4"/>
          </reference>
        </references>
      </pivotArea>
    </chartFormat>
    <chartFormat chart="4" format="20">
      <pivotArea type="data" outline="0" fieldPosition="0">
        <references count="2">
          <reference field="4294967294" count="1" selected="0">
            <x v="0"/>
          </reference>
          <reference field="8" count="1" selected="0">
            <x v="5"/>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8" count="1" selected="0">
            <x v="0"/>
          </reference>
        </references>
      </pivotArea>
    </chartFormat>
    <chartFormat chart="5" format="23">
      <pivotArea type="data" outline="0" fieldPosition="0">
        <references count="2">
          <reference field="4294967294" count="1" selected="0">
            <x v="0"/>
          </reference>
          <reference field="8" count="1" selected="0">
            <x v="1"/>
          </reference>
        </references>
      </pivotArea>
    </chartFormat>
    <chartFormat chart="5" format="24">
      <pivotArea type="data" outline="0" fieldPosition="0">
        <references count="2">
          <reference field="4294967294" count="1" selected="0">
            <x v="0"/>
          </reference>
          <reference field="8" count="1" selected="0">
            <x v="2"/>
          </reference>
        </references>
      </pivotArea>
    </chartFormat>
    <chartFormat chart="5" format="25">
      <pivotArea type="data" outline="0" fieldPosition="0">
        <references count="2">
          <reference field="4294967294" count="1" selected="0">
            <x v="0"/>
          </reference>
          <reference field="8" count="1" selected="0">
            <x v="3"/>
          </reference>
        </references>
      </pivotArea>
    </chartFormat>
    <chartFormat chart="5" format="26">
      <pivotArea type="data" outline="0" fieldPosition="0">
        <references count="2">
          <reference field="4294967294" count="1" selected="0">
            <x v="0"/>
          </reference>
          <reference field="8" count="1" selected="0">
            <x v="4"/>
          </reference>
        </references>
      </pivotArea>
    </chartFormat>
    <chartFormat chart="5" format="27">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FE7580-DD36-43DC-8A9B-6F0734757C2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J16" firstHeaderRow="1" firstDataRow="2" firstDataCol="1"/>
  <pivotFields count="10">
    <pivotField showAll="0"/>
    <pivotField showAll="0"/>
    <pivotField axis="axisCol" showAll="0">
      <items count="9">
        <item x="3"/>
        <item x="6"/>
        <item x="5"/>
        <item x="0"/>
        <item x="1"/>
        <item x="4"/>
        <item x="2"/>
        <item x="7"/>
        <item t="default"/>
      </items>
    </pivotField>
    <pivotField showAll="0"/>
    <pivotField dataField="1" showAll="0">
      <items count="1195">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x="1193"/>
        <item t="default"/>
      </items>
    </pivotField>
    <pivotField showAll="0"/>
    <pivotField showAll="0"/>
    <pivotField axis="axisRow" showAll="0">
      <items count="12">
        <item x="9"/>
        <item x="7"/>
        <item x="1"/>
        <item x="4"/>
        <item x="3"/>
        <item x="5"/>
        <item x="0"/>
        <item x="2"/>
        <item x="6"/>
        <item x="8"/>
        <item x="10"/>
        <item t="default"/>
      </items>
    </pivotField>
    <pivotField showAll="0"/>
    <pivotField showAll="0"/>
  </pivotFields>
  <rowFields count="1">
    <field x="7"/>
  </rowFields>
  <rowItems count="12">
    <i>
      <x/>
    </i>
    <i>
      <x v="1"/>
    </i>
    <i>
      <x v="2"/>
    </i>
    <i>
      <x v="3"/>
    </i>
    <i>
      <x v="4"/>
    </i>
    <i>
      <x v="5"/>
    </i>
    <i>
      <x v="6"/>
    </i>
    <i>
      <x v="7"/>
    </i>
    <i>
      <x v="8"/>
    </i>
    <i>
      <x v="9"/>
    </i>
    <i>
      <x v="10"/>
    </i>
    <i t="grand">
      <x/>
    </i>
  </rowItems>
  <colFields count="1">
    <field x="2"/>
  </colFields>
  <colItems count="9">
    <i>
      <x/>
    </i>
    <i>
      <x v="1"/>
    </i>
    <i>
      <x v="2"/>
    </i>
    <i>
      <x v="3"/>
    </i>
    <i>
      <x v="4"/>
    </i>
    <i>
      <x v="5"/>
    </i>
    <i>
      <x v="6"/>
    </i>
    <i>
      <x v="7"/>
    </i>
    <i t="grand">
      <x/>
    </i>
  </colItems>
  <dataFields count="1">
    <dataField name="Sum of UnitPrice" fld="4" baseField="0" baseItem="0"/>
  </dataFields>
  <chartFormats count="4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0"/>
          </reference>
        </references>
      </pivotArea>
    </chartFormat>
    <chartFormat chart="1" format="9" series="1">
      <pivotArea type="data" outline="0" fieldPosition="0">
        <references count="2">
          <reference field="4294967294" count="1" selected="0">
            <x v="0"/>
          </reference>
          <reference field="2" count="1" selected="0">
            <x v="1"/>
          </reference>
        </references>
      </pivotArea>
    </chartFormat>
    <chartFormat chart="1" format="10" series="1">
      <pivotArea type="data" outline="0" fieldPosition="0">
        <references count="2">
          <reference field="4294967294" count="1" selected="0">
            <x v="0"/>
          </reference>
          <reference field="2" count="1" selected="0">
            <x v="2"/>
          </reference>
        </references>
      </pivotArea>
    </chartFormat>
    <chartFormat chart="1" format="11" series="1">
      <pivotArea type="data" outline="0" fieldPosition="0">
        <references count="2">
          <reference field="4294967294" count="1" selected="0">
            <x v="0"/>
          </reference>
          <reference field="2" count="1" selected="0">
            <x v="3"/>
          </reference>
        </references>
      </pivotArea>
    </chartFormat>
    <chartFormat chart="1" format="12" series="1">
      <pivotArea type="data" outline="0" fieldPosition="0">
        <references count="2">
          <reference field="4294967294" count="1" selected="0">
            <x v="0"/>
          </reference>
          <reference field="2" count="1" selected="0">
            <x v="4"/>
          </reference>
        </references>
      </pivotArea>
    </chartFormat>
    <chartFormat chart="1" format="13" series="1">
      <pivotArea type="data" outline="0" fieldPosition="0">
        <references count="2">
          <reference field="4294967294" count="1" selected="0">
            <x v="0"/>
          </reference>
          <reference field="2" count="1" selected="0">
            <x v="5"/>
          </reference>
        </references>
      </pivotArea>
    </chartFormat>
    <chartFormat chart="1" format="14" series="1">
      <pivotArea type="data" outline="0" fieldPosition="0">
        <references count="2">
          <reference field="4294967294" count="1" selected="0">
            <x v="0"/>
          </reference>
          <reference field="2" count="1" selected="0">
            <x v="6"/>
          </reference>
        </references>
      </pivotArea>
    </chartFormat>
    <chartFormat chart="1" format="15" series="1">
      <pivotArea type="data" outline="0" fieldPosition="0">
        <references count="2">
          <reference field="4294967294" count="1" selected="0">
            <x v="0"/>
          </reference>
          <reference field="2" count="1" selected="0">
            <x v="7"/>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7" format="16" series="1">
      <pivotArea type="data" outline="0" fieldPosition="0">
        <references count="2">
          <reference field="4294967294" count="1" selected="0">
            <x v="0"/>
          </reference>
          <reference field="2" count="1" selected="0">
            <x v="0"/>
          </reference>
        </references>
      </pivotArea>
    </chartFormat>
    <chartFormat chart="7" format="17" series="1">
      <pivotArea type="data" outline="0" fieldPosition="0">
        <references count="2">
          <reference field="4294967294" count="1" selected="0">
            <x v="0"/>
          </reference>
          <reference field="2" count="1" selected="0">
            <x v="1"/>
          </reference>
        </references>
      </pivotArea>
    </chartFormat>
    <chartFormat chart="7" format="18" series="1">
      <pivotArea type="data" outline="0" fieldPosition="0">
        <references count="2">
          <reference field="4294967294" count="1" selected="0">
            <x v="0"/>
          </reference>
          <reference field="2" count="1" selected="0">
            <x v="2"/>
          </reference>
        </references>
      </pivotArea>
    </chartFormat>
    <chartFormat chart="7" format="19" series="1">
      <pivotArea type="data" outline="0" fieldPosition="0">
        <references count="2">
          <reference field="4294967294" count="1" selected="0">
            <x v="0"/>
          </reference>
          <reference field="2" count="1" selected="0">
            <x v="3"/>
          </reference>
        </references>
      </pivotArea>
    </chartFormat>
    <chartFormat chart="7" format="20" series="1">
      <pivotArea type="data" outline="0" fieldPosition="0">
        <references count="2">
          <reference field="4294967294" count="1" selected="0">
            <x v="0"/>
          </reference>
          <reference field="2" count="1" selected="0">
            <x v="4"/>
          </reference>
        </references>
      </pivotArea>
    </chartFormat>
    <chartFormat chart="7" format="21" series="1">
      <pivotArea type="data" outline="0" fieldPosition="0">
        <references count="2">
          <reference field="4294967294" count="1" selected="0">
            <x v="0"/>
          </reference>
          <reference field="2" count="1" selected="0">
            <x v="5"/>
          </reference>
        </references>
      </pivotArea>
    </chartFormat>
    <chartFormat chart="7" format="22" series="1">
      <pivotArea type="data" outline="0" fieldPosition="0">
        <references count="2">
          <reference field="4294967294" count="1" selected="0">
            <x v="0"/>
          </reference>
          <reference field="2" count="1" selected="0">
            <x v="6"/>
          </reference>
        </references>
      </pivotArea>
    </chartFormat>
    <chartFormat chart="7" format="23" series="1">
      <pivotArea type="data" outline="0" fieldPosition="0">
        <references count="2">
          <reference field="4294967294" count="1" selected="0">
            <x v="0"/>
          </reference>
          <reference field="2" count="1" selected="0">
            <x v="7"/>
          </reference>
        </references>
      </pivotArea>
    </chartFormat>
    <chartFormat chart="8" format="24" series="1">
      <pivotArea type="data" outline="0" fieldPosition="0">
        <references count="2">
          <reference field="4294967294" count="1" selected="0">
            <x v="0"/>
          </reference>
          <reference field="2" count="1" selected="0">
            <x v="0"/>
          </reference>
        </references>
      </pivotArea>
    </chartFormat>
    <chartFormat chart="8" format="25" series="1">
      <pivotArea type="data" outline="0" fieldPosition="0">
        <references count="2">
          <reference field="4294967294" count="1" selected="0">
            <x v="0"/>
          </reference>
          <reference field="2" count="1" selected="0">
            <x v="1"/>
          </reference>
        </references>
      </pivotArea>
    </chartFormat>
    <chartFormat chart="8" format="26" series="1">
      <pivotArea type="data" outline="0" fieldPosition="0">
        <references count="2">
          <reference field="4294967294" count="1" selected="0">
            <x v="0"/>
          </reference>
          <reference field="2" count="1" selected="0">
            <x v="2"/>
          </reference>
        </references>
      </pivotArea>
    </chartFormat>
    <chartFormat chart="8" format="27" series="1">
      <pivotArea type="data" outline="0" fieldPosition="0">
        <references count="2">
          <reference field="4294967294" count="1" selected="0">
            <x v="0"/>
          </reference>
          <reference field="2" count="1" selected="0">
            <x v="3"/>
          </reference>
        </references>
      </pivotArea>
    </chartFormat>
    <chartFormat chart="8" format="28" series="1">
      <pivotArea type="data" outline="0" fieldPosition="0">
        <references count="2">
          <reference field="4294967294" count="1" selected="0">
            <x v="0"/>
          </reference>
          <reference field="2" count="1" selected="0">
            <x v="4"/>
          </reference>
        </references>
      </pivotArea>
    </chartFormat>
    <chartFormat chart="8" format="29" series="1">
      <pivotArea type="data" outline="0" fieldPosition="0">
        <references count="2">
          <reference field="4294967294" count="1" selected="0">
            <x v="0"/>
          </reference>
          <reference field="2" count="1" selected="0">
            <x v="5"/>
          </reference>
        </references>
      </pivotArea>
    </chartFormat>
    <chartFormat chart="8" format="30" series="1">
      <pivotArea type="data" outline="0" fieldPosition="0">
        <references count="2">
          <reference field="4294967294" count="1" selected="0">
            <x v="0"/>
          </reference>
          <reference field="2" count="1" selected="0">
            <x v="6"/>
          </reference>
        </references>
      </pivotArea>
    </chartFormat>
    <chartFormat chart="8" format="31"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BCE490-8C57-4BEF-AC5C-9CF641ECD70D}"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2" firstHeaderRow="0" firstDataRow="1" firstDataCol="1"/>
  <pivotFields count="10">
    <pivotField dataField="1" showAll="0"/>
    <pivotField axis="axisRow"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axis="axisRow" showAll="0">
      <items count="9">
        <item sd="0" x="3"/>
        <item sd="0" x="6"/>
        <item sd="0" x="5"/>
        <item sd="0" x="0"/>
        <item sd="0" x="1"/>
        <item sd="0" x="4"/>
        <item sd="0" x="2"/>
        <item sd="0" x="7"/>
        <item t="default" sd="0"/>
      </items>
    </pivotField>
    <pivotField dataField="1" showAll="0">
      <items count="7">
        <item x="2"/>
        <item x="1"/>
        <item x="4"/>
        <item x="3"/>
        <item x="0"/>
        <item x="5"/>
        <item t="default"/>
      </items>
    </pivotField>
    <pivotField showAll="0"/>
    <pivotField showAll="0"/>
    <pivotField showAll="0"/>
    <pivotField dataField="1" showAll="0">
      <items count="12">
        <item x="9"/>
        <item x="7"/>
        <item x="1"/>
        <item x="4"/>
        <item x="3"/>
        <item x="5"/>
        <item x="0"/>
        <item x="2"/>
        <item x="6"/>
        <item x="8"/>
        <item x="10"/>
        <item t="default"/>
      </items>
    </pivotField>
    <pivotField showAll="0"/>
    <pivotField showAll="0"/>
  </pivotFields>
  <rowFields count="2">
    <field x="2"/>
    <field x="1"/>
  </rowFields>
  <rowItems count="9">
    <i>
      <x/>
    </i>
    <i>
      <x v="1"/>
    </i>
    <i>
      <x v="2"/>
    </i>
    <i>
      <x v="3"/>
    </i>
    <i>
      <x v="4"/>
    </i>
    <i>
      <x v="5"/>
    </i>
    <i>
      <x v="6"/>
    </i>
    <i>
      <x v="7"/>
    </i>
    <i t="grand">
      <x/>
    </i>
  </rowItems>
  <colFields count="1">
    <field x="-2"/>
  </colFields>
  <colItems count="3">
    <i>
      <x/>
    </i>
    <i i="1">
      <x v="1"/>
    </i>
    <i i="2">
      <x v="2"/>
    </i>
  </colItems>
  <dataFields count="3">
    <dataField name="Sum of Quantity" fld="3" baseField="0" baseItem="0"/>
    <dataField name="Sum of ItemsInCart" fld="7" baseField="0" baseItem="0"/>
    <dataField name="Count of Order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Price" xr10:uid="{7CB0078D-1FA2-4ABF-A4E4-BFD928481AF4}" sourceName="UnitPrice">
  <pivotTables>
    <pivotTable tabId="2" name="PivotTable2"/>
  </pivotTables>
  <data>
    <tabular pivotCacheId="1457031946">
      <items count="1194">
        <i x="1154" s="1"/>
        <i x="67" s="1"/>
        <i x="861" s="1"/>
        <i x="251" s="1"/>
        <i x="473" s="1"/>
        <i x="484" s="1"/>
        <i x="240" s="1"/>
        <i x="542" s="1"/>
        <i x="336" s="1"/>
        <i x="628" s="1"/>
        <i x="772" s="1"/>
        <i x="128" s="1"/>
        <i x="774" s="1"/>
        <i x="708" s="1"/>
        <i x="675" s="1"/>
        <i x="832" s="1"/>
        <i x="424" s="1"/>
        <i x="1019" s="1"/>
        <i x="688" s="1"/>
        <i x="601" s="1"/>
        <i x="479" s="1"/>
        <i x="602" s="1"/>
        <i x="1045" s="1"/>
        <i x="1014" s="1"/>
        <i x="922" s="1"/>
        <i x="1151" s="1"/>
        <i x="809" s="1"/>
        <i x="1006" s="1"/>
        <i x="702" s="1"/>
        <i x="49" s="1"/>
        <i x="303" s="1"/>
        <i x="544" s="1"/>
        <i x="604" s="1"/>
        <i x="682" s="1"/>
        <i x="488" s="1"/>
        <i x="759" s="1"/>
        <i x="1093" s="1"/>
        <i x="1127" s="1"/>
        <i x="1038" s="1"/>
        <i x="411" s="1"/>
        <i x="387" s="1"/>
        <i x="758" s="1"/>
        <i x="927" s="1"/>
        <i x="532" s="1"/>
        <i x="1071" s="1"/>
        <i x="231" s="1"/>
        <i x="250" s="1"/>
        <i x="62" s="1"/>
        <i x="506" s="1"/>
        <i x="733" s="1"/>
        <i x="136" s="1"/>
        <i x="784" s="1"/>
        <i x="467" s="1"/>
        <i x="630" s="1"/>
        <i x="657" s="1"/>
        <i x="526" s="1"/>
        <i x="193" s="1"/>
        <i x="108" s="1"/>
        <i x="92" s="1"/>
        <i x="703" s="1"/>
        <i x="11" s="1"/>
        <i x="22" s="1"/>
        <i x="1114" s="1"/>
        <i x="669" s="1"/>
        <i x="712" s="1"/>
        <i x="431" s="1"/>
        <i x="684" s="1"/>
        <i x="398" s="1"/>
        <i x="350" s="1"/>
        <i x="721" s="1"/>
        <i x="279" s="1"/>
        <i x="417" s="1"/>
        <i x="557" s="1"/>
        <i x="932" s="1"/>
        <i x="306" s="1"/>
        <i x="426" s="1"/>
        <i x="26" s="1"/>
        <i x="230" s="1"/>
        <i x="219" s="1"/>
        <i x="902" s="1"/>
        <i x="20" s="1"/>
        <i x="478" s="1"/>
        <i x="456" s="1"/>
        <i x="1100" s="1"/>
        <i x="634" s="1"/>
        <i x="775" s="1"/>
        <i x="378" s="1"/>
        <i x="351" s="1"/>
        <i x="923" s="1"/>
        <i x="716" s="1"/>
        <i x="275" s="1"/>
        <i x="235" s="1"/>
        <i x="162" s="1"/>
        <i x="292" s="1"/>
        <i x="406" s="1"/>
        <i x="312" s="1"/>
        <i x="585" s="1"/>
        <i x="535" s="1"/>
        <i x="175" s="1"/>
        <i x="798" s="1"/>
        <i x="710" s="1"/>
        <i x="135" s="1"/>
        <i x="443" s="1"/>
        <i x="976" s="1"/>
        <i x="1044" s="1"/>
        <i x="1171" s="1"/>
        <i x="572" s="1"/>
        <i x="102" s="1"/>
        <i x="746" s="1"/>
        <i x="1077" s="1"/>
        <i x="324" s="1"/>
        <i x="600" s="1"/>
        <i x="928" s="1"/>
        <i x="662" s="1"/>
        <i x="594" s="1"/>
        <i x="1001" s="1"/>
        <i x="1128" s="1"/>
        <i x="1042" s="1"/>
        <i x="896" s="1"/>
        <i x="393" s="1"/>
        <i x="452" s="1"/>
        <i x="256" s="1"/>
        <i x="37" s="1"/>
        <i x="827" s="1"/>
        <i x="760" s="1"/>
        <i x="1102" s="1"/>
        <i x="980" s="1"/>
        <i x="831" s="1"/>
        <i x="576" s="1"/>
        <i x="48" s="1"/>
        <i x="65" s="1"/>
        <i x="440" s="1"/>
        <i x="409" s="1"/>
        <i x="1103" s="1"/>
        <i x="131" s="1"/>
        <i x="641" s="1"/>
        <i x="1056" s="1"/>
        <i x="166" s="1"/>
        <i x="1023" s="1"/>
        <i x="656" s="1"/>
        <i x="829" s="1"/>
        <i x="530" s="1"/>
        <i x="968" s="1"/>
        <i x="74" s="1"/>
        <i x="277" s="1"/>
        <i x="224" s="1"/>
        <i x="315" s="1"/>
        <i x="1168" s="1"/>
        <i x="555" s="1"/>
        <i x="699" s="1"/>
        <i x="701" s="1"/>
        <i x="1160" s="1"/>
        <i x="698" s="1"/>
        <i x="386" s="1"/>
        <i x="695" s="1"/>
        <i x="513" s="1"/>
        <i x="375" s="1"/>
        <i x="720" s="1"/>
        <i x="725" s="1"/>
        <i x="613" s="1"/>
        <i x="545" s="1"/>
        <i x="404" s="1"/>
        <i x="290" s="1"/>
        <i x="693" s="1"/>
        <i x="160" s="1"/>
        <i x="258" s="1"/>
        <i x="150" s="1"/>
        <i x="971" s="1"/>
        <i x="1188" s="1"/>
        <i x="843" s="1"/>
        <i x="295" s="1"/>
        <i x="974" s="1"/>
        <i x="454" s="1"/>
        <i x="945" s="1"/>
        <i x="743" s="1"/>
        <i x="937" s="1"/>
        <i x="497" s="1"/>
        <i x="218" s="1"/>
        <i x="990" s="1"/>
        <i x="363" s="1"/>
        <i x="88" s="1"/>
        <i x="793" s="1"/>
        <i x="95" s="1"/>
        <i x="719" s="1"/>
        <i x="413" s="1"/>
        <i x="930" s="1"/>
        <i x="860" s="1"/>
        <i x="551" s="1"/>
        <i x="207" s="1"/>
        <i x="715" s="1"/>
        <i x="61" s="1"/>
        <i x="1076" s="1"/>
        <i x="332" s="1"/>
        <i x="1092" s="1"/>
        <i x="305" s="1"/>
        <i x="66" s="1"/>
        <i x="395" s="1"/>
        <i x="1170" s="1"/>
        <i x="718" s="1"/>
        <i x="64" s="1"/>
        <i x="949" s="1"/>
        <i x="1055" s="1"/>
        <i x="1165" s="1"/>
        <i x="730" s="1"/>
        <i x="310" s="1"/>
        <i x="498" s="1"/>
        <i x="654" s="1"/>
        <i x="563" s="1"/>
        <i x="412" s="1"/>
        <i x="871" s="1"/>
        <i x="186" s="1"/>
        <i x="806" s="1"/>
        <i x="8" s="1"/>
        <i x="444" s="1"/>
        <i x="619" s="1"/>
        <i x="977" s="1"/>
        <i x="503" s="1"/>
        <i x="722" s="1"/>
        <i x="286" s="1"/>
        <i x="414" s="1"/>
        <i x="908" s="1"/>
        <i x="317" s="1"/>
        <i x="958" s="1"/>
        <i x="865" s="1"/>
        <i x="955" s="1"/>
        <i x="460" s="1"/>
        <i x="243" s="1"/>
        <i x="584" s="1"/>
        <i x="748" s="1"/>
        <i x="439" s="1"/>
        <i x="85" s="1"/>
        <i x="145" s="1"/>
        <i x="892" s="1"/>
        <i x="205" s="1"/>
        <i x="812" s="1"/>
        <i x="171" s="1"/>
        <i x="318" s="1"/>
        <i x="489" s="1"/>
        <i x="7" s="1"/>
        <i x="644" s="1"/>
        <i x="323" s="1"/>
        <i x="694" s="1"/>
        <i x="1" s="1"/>
        <i x="42" s="1"/>
        <i x="321" s="1"/>
        <i x="524" s="1"/>
        <i x="314" s="1"/>
        <i x="583" s="1"/>
        <i x="891" s="1"/>
        <i x="679" s="1"/>
        <i x="559" s="1"/>
        <i x="755" s="1"/>
        <i x="894" s="1"/>
        <i x="954" s="1"/>
        <i x="546" s="1"/>
        <i x="1174" s="1"/>
        <i x="448" s="1"/>
        <i x="28" s="1"/>
        <i x="400" s="1"/>
        <i x="289" s="1"/>
        <i x="952" s="1"/>
        <i x="427" s="1"/>
        <i x="1094" s="1"/>
        <i x="566" s="1"/>
        <i x="33" s="1"/>
        <i x="676" s="1"/>
        <i x="1179" s="1"/>
        <i x="84" s="1"/>
        <i x="516" s="1"/>
        <i x="341" s="1"/>
        <i x="791" s="1"/>
        <i x="507" s="1"/>
        <i x="883" s="1"/>
        <i x="261" s="1"/>
        <i x="352" s="1"/>
        <i x="819" s="1"/>
        <i x="78" s="1"/>
        <i x="783" s="1"/>
        <i x="1003" s="1"/>
        <i x="691" s="1"/>
        <i x="834" s="1"/>
        <i x="50" s="1"/>
        <i x="1037" s="1"/>
        <i x="898" s="1"/>
        <i x="12" s="1"/>
        <i x="90" s="1"/>
        <i x="274" s="1"/>
        <i x="1012" s="1"/>
        <i x="451" s="1"/>
        <i x="358" s="1"/>
        <i x="415" s="1"/>
        <i x="616" s="1"/>
        <i x="778" s="1"/>
        <i x="1180" s="1"/>
        <i x="105" s="1"/>
        <i x="577" s="1"/>
        <i x="183" s="1"/>
        <i x="727" s="1"/>
        <i x="579" s="1"/>
        <i x="209" s="1"/>
        <i x="655" s="1"/>
        <i x="864" s="1"/>
        <i x="1187" s="1"/>
        <i x="113" s="1"/>
        <i x="1119" s="1"/>
        <i x="828" s="1"/>
        <i x="385" s="1"/>
        <i x="381" s="1"/>
        <i x="939" s="1"/>
        <i x="211" s="1"/>
        <i x="663" s="1"/>
        <i x="723" s="1"/>
        <i x="1113" s="1"/>
        <i x="690" s="1"/>
        <i x="1086" s="1"/>
        <i x="837" s="1"/>
        <i x="517" s="1"/>
        <i x="333" s="1"/>
        <i x="1147" s="1"/>
        <i x="1058" s="1"/>
        <i x="134" s="1"/>
        <i x="496" s="1"/>
        <i x="376" s="1"/>
        <i x="13" s="1"/>
        <i x="99" s="1"/>
        <i x="501" s="1"/>
        <i x="1177" s="1"/>
        <i x="592" s="1"/>
        <i x="335" s="1"/>
        <i x="422" s="1"/>
        <i x="362" s="1"/>
        <i x="284" s="1"/>
        <i x="1166" s="1"/>
        <i x="1085" s="1"/>
        <i x="1084" s="1"/>
        <i x="47" s="1"/>
        <i x="1106" s="1"/>
        <i x="185" s="1"/>
        <i x="161" s="1"/>
        <i x="597" s="1"/>
        <i x="1169" s="1"/>
        <i x="571" s="1"/>
        <i x="847" s="1"/>
        <i x="184" s="1"/>
        <i x="419" s="1"/>
        <i x="196" s="1"/>
        <i x="807" s="1"/>
        <i x="149" s="1"/>
        <i x="103" s="1"/>
        <i x="242" s="1"/>
        <i x="144" s="1"/>
        <i x="110" s="1"/>
        <i x="247" s="1"/>
        <i x="436" s="1"/>
        <i x="197" s="1"/>
        <i x="785" s="1"/>
        <i x="1167" s="1"/>
        <i x="1067" s="1"/>
        <i x="245" s="1"/>
        <i x="190" s="1"/>
        <i x="1158" s="1"/>
        <i x="19" s="1"/>
        <i x="1155" s="1"/>
        <i x="732" s="1"/>
        <i x="334" s="1"/>
        <i x="87" s="1"/>
        <i x="1008" s="1"/>
        <i x="704" s="1"/>
        <i x="98" s="1"/>
        <i x="550" s="1"/>
        <i x="206" s="1"/>
        <i x="474" s="1"/>
        <i x="612" s="1"/>
        <i x="969" s="1"/>
        <i x="24" s="1"/>
        <i x="664" s="1"/>
        <i x="322" s="1"/>
        <i x="96" s="1"/>
        <i x="1017" s="1"/>
        <i x="876" s="1"/>
        <i x="683" s="1"/>
        <i x="1104" s="1"/>
        <i x="339" s="1"/>
        <i x="621" s="1"/>
        <i x="234" s="1"/>
        <i x="802" s="1"/>
        <i x="900" s="1"/>
        <i x="273" s="1"/>
        <i x="689" s="1"/>
        <i x="853" s="1"/>
        <i x="751" s="1"/>
        <i x="981" s="1"/>
        <i x="1024" s="1"/>
        <i x="5" s="1"/>
        <i x="38" s="1"/>
        <i x="985" s="1"/>
        <i x="776" s="1"/>
        <i x="998" s="1"/>
        <i x="924" s="1"/>
        <i x="537" s="1"/>
        <i x="629" s="1"/>
        <i x="262" s="1"/>
        <i x="194" s="1"/>
        <i x="1031" s="1"/>
        <i x="569" s="1"/>
        <i x="137" s="1"/>
        <i x="1111" s="1"/>
        <i x="462" s="1"/>
        <i x="449" s="1"/>
        <i x="666" s="1"/>
        <i x="995" s="1"/>
        <i x="477" s="1"/>
        <i x="804" s="1"/>
        <i x="202" s="1"/>
        <i x="172" s="1"/>
        <i x="1064" s="1"/>
        <i x="810" s="1"/>
        <i x="1091" s="1"/>
        <i x="580" s="1"/>
        <i x="39" s="1"/>
        <i x="667" s="1"/>
        <i x="855" s="1"/>
        <i x="633" s="1"/>
        <i x="745" s="1"/>
        <i x="377" s="1"/>
        <i x="330" s="1"/>
        <i x="994" s="1"/>
        <i x="857" s="1"/>
        <i x="1191" s="1"/>
        <i x="428" s="1"/>
        <i x="382" s="1"/>
        <i x="254" s="1"/>
        <i x="470" s="1"/>
        <i x="129" s="1"/>
        <i x="255" s="1"/>
        <i x="347" s="1"/>
        <i x="212" s="1"/>
        <i x="1053" s="1"/>
        <i x="970" s="1"/>
        <i x="884" s="1"/>
        <i x="988" s="1"/>
        <i x="920" s="1"/>
        <i x="1010" s="1"/>
        <i x="156" s="1"/>
        <i x="543" s="1"/>
        <i x="368" s="1"/>
        <i x="823" s="1"/>
        <i x="142" s="1"/>
        <i x="3" s="1"/>
        <i x="23" s="1"/>
        <i x="1054" s="1"/>
        <i x="225" s="1"/>
        <i x="878" s="1"/>
        <i x="605" s="1"/>
        <i x="1049" s="1"/>
        <i x="316" s="1"/>
        <i x="126" s="1"/>
        <i x="1096" s="1"/>
        <i x="941" s="1"/>
        <i x="1013" s="1"/>
        <i x="123" s="1"/>
        <i x="299" s="1"/>
        <i x="764" s="1"/>
        <i x="54" s="1"/>
        <i x="962" s="1"/>
        <i x="1176" s="1"/>
        <i x="329" s="1"/>
        <i x="754" s="1"/>
        <i x="983" s="1"/>
        <i x="124" s="1"/>
        <i x="396" s="1"/>
        <i x="300" s="1"/>
        <i x="421" s="1"/>
        <i x="116" s="1"/>
        <i x="905" s="1"/>
        <i x="811" s="1"/>
        <i x="1131" s="1"/>
        <i x="979" s="1"/>
        <i x="379" s="1"/>
        <i x="294" s="1"/>
        <i x="138" s="1"/>
        <i x="1173" s="1"/>
        <i x="903" s="1"/>
        <i x="933" s="1"/>
        <i x="1033" s="1"/>
        <i x="159" s="1"/>
        <i x="1007" s="1"/>
        <i x="298" s="1"/>
        <i x="1150" s="1"/>
        <i x="425" s="1"/>
        <i x="133" s="1"/>
        <i x="1143" s="1"/>
        <i x="215" s="1"/>
        <i x="978" s="1"/>
        <i x="514" s="1"/>
        <i x="1070" s="1"/>
        <i x="610" s="1"/>
        <i x="936" s="1"/>
        <i x="338" s="1"/>
        <i x="214" s="1"/>
        <i x="947" s="1"/>
        <i x="1156" s="1"/>
        <i x="636" s="1"/>
        <i x="371" s="1"/>
        <i x="565" s="1"/>
        <i x="757" s="1"/>
        <i x="906" s="1"/>
        <i x="111" s="1"/>
        <i x="270" s="1"/>
        <i x="418" s="1"/>
        <i x="233" s="1"/>
        <i x="79" s="1"/>
        <i x="370" s="1"/>
        <i x="57" s="1"/>
        <i x="768" s="1"/>
        <i x="1097" s="1"/>
        <i x="442" s="1"/>
        <i x="1015" s="1"/>
        <i x="1157" s="1"/>
        <i x="180" s="1"/>
        <i x="1061" s="1"/>
        <i x="866" s="1"/>
        <i x="1039" s="1"/>
        <i x="45" s="1"/>
        <i x="244" s="1"/>
        <i x="236" s="1"/>
        <i x="148" s="1"/>
        <i x="997" s="1"/>
        <i x="531" s="1"/>
        <i x="1057" s="1"/>
        <i x="842" s="1"/>
        <i x="217" s="1"/>
        <i x="765" s="1"/>
        <i x="895" s="1"/>
        <i x="1123" s="1"/>
        <i x="869" s="1"/>
        <i x="1159" s="1"/>
        <i x="726" s="1"/>
        <i x="782" s="1"/>
        <i x="665" s="1"/>
        <i x="434" s="1"/>
        <i x="441" s="1"/>
        <i x="797" s="1"/>
        <i x="859" s="1"/>
        <i x="874" s="1"/>
        <i x="158" s="1"/>
        <i x="1161" s="1"/>
        <i x="934" s="1"/>
        <i x="380" s="1"/>
        <i x="685" s="1"/>
        <i x="739" s="1"/>
        <i x="553" s="1"/>
        <i x="459" s="1"/>
        <i x="480" s="1"/>
        <i x="1108" s="1"/>
        <i x="753" s="1"/>
        <i x="1125" s="1"/>
        <i x="402" s="1"/>
        <i x="285" s="1"/>
        <i x="646" s="1"/>
        <i x="198" s="1"/>
        <i x="373" s="1"/>
        <i x="651" s="1"/>
        <i x="623" s="1"/>
        <i x="673" s="1"/>
        <i x="246" s="1"/>
        <i x="21" s="1"/>
        <i x="1178" s="1"/>
        <i x="568" s="1"/>
        <i x="40" s="1"/>
        <i x="1145" s="1"/>
        <i x="55" s="1"/>
        <i x="291" s="1"/>
        <i x="487" s="1"/>
        <i x="1095" s="1"/>
        <i x="483" s="1"/>
        <i x="1009" s="1"/>
        <i x="1060" s="1"/>
        <i x="1141" s="1"/>
        <i x="790" s="1"/>
        <i x="1105" s="1"/>
        <i x="203" s="1"/>
        <i x="210" s="1"/>
        <i x="672" s="1"/>
        <i x="348" s="1"/>
        <i x="844" s="1"/>
        <i x="327" s="1"/>
        <i x="677" s="1"/>
        <i x="325" s="1"/>
        <i x="1066" s="1"/>
        <i x="570" s="1"/>
        <i x="278" s="1"/>
        <i x="1032" s="1"/>
        <i x="188" s="1"/>
        <i x="840" s="1"/>
        <i x="564" s="1"/>
        <i x="960" s="1"/>
        <i x="227" s="1"/>
        <i x="849" s="1"/>
        <i x="643" s="1"/>
        <i x="1018" s="1"/>
        <i x="914" s="1"/>
        <i x="1027" s="1"/>
        <i x="635" s="1"/>
        <i x="1181" s="1"/>
        <i x="649" s="1"/>
        <i x="852" s="1"/>
        <i x="1099" s="1"/>
        <i x="671" s="1"/>
        <i x="220" s="1"/>
        <i x="356" s="1"/>
        <i x="915" s="1"/>
        <i x="115" s="1"/>
        <i x="369" s="1"/>
        <i x="1184" s="1"/>
        <i x="510" s="1"/>
        <i x="738" s="1"/>
        <i x="956" s="1"/>
        <i x="101" s="1"/>
        <i x="482" s="1"/>
        <i x="1136" s="1"/>
        <i x="653" s="1"/>
        <i x="76" s="1"/>
        <i x="913" s="1"/>
        <i x="167" s="1"/>
        <i x="238" s="1"/>
        <i x="574" s="1"/>
        <i x="792" s="1"/>
        <i x="595" s="1"/>
        <i x="228" s="1"/>
        <i x="707" s="1"/>
        <i x="737" s="1"/>
        <i x="696" s="1"/>
        <i x="51" s="1"/>
        <i x="1182" s="1"/>
        <i x="609" s="1"/>
        <i x="816" s="1"/>
        <i x="1043" s="1"/>
        <i x="1065" s="1"/>
        <i x="999" s="1"/>
        <i x="14" s="1"/>
        <i x="383" s="1"/>
        <i x="929" s="1"/>
        <i x="81" s="1"/>
        <i x="888" s="1"/>
        <i x="622" s="1"/>
        <i x="907" s="1"/>
        <i x="801" s="1"/>
        <i x="75" s="1"/>
        <i x="817" s="1"/>
        <i x="152" s="1"/>
        <i x="272" s="1"/>
        <i x="25" s="1"/>
        <i x="143" s="1"/>
        <i x="461" s="1"/>
        <i x="518" s="1"/>
        <i x="181" s="1"/>
        <i x="826" s="1"/>
        <i x="280" s="1"/>
        <i x="485" s="1"/>
        <i x="942" s="1"/>
        <i x="257" s="1"/>
        <i x="260" s="1"/>
        <i x="951" s="1"/>
        <i x="154" s="1"/>
        <i x="208" s="1"/>
        <i x="1118" s="1"/>
        <i x="357" s="1"/>
        <i x="304" s="1"/>
        <i x="789" s="1"/>
        <i x="1036" s="1"/>
        <i x="1130" s="1"/>
        <i x="112" s="1"/>
        <i x="121" s="1"/>
        <i x="1002" s="1"/>
        <i x="617" s="1"/>
        <i x="146" s="1"/>
        <i x="838" s="1"/>
        <i x="1052" s="1"/>
        <i x="964" s="1"/>
        <i x="408" s="1"/>
        <i x="204" s="1"/>
        <i x="253" s="1"/>
        <i x="1030" s="1"/>
        <i x="435" s="1"/>
        <i x="447" s="1"/>
        <i x="60" s="1"/>
        <i x="788" s="1"/>
        <i x="986" s="1"/>
        <i x="468" s="1"/>
        <i x="734" s="1"/>
        <i x="1122" s="1"/>
        <i x="493" s="1"/>
        <i x="1175" s="1"/>
        <i x="491" s="1"/>
        <i x="1000" s="1"/>
        <i x="573" s="1"/>
        <i x="1139" s="1"/>
        <i x="331" s="1"/>
        <i x="674" s="1"/>
        <i x="858" s="1"/>
        <i x="17" s="1"/>
        <i x="29" s="1"/>
        <i x="268" s="1"/>
        <i x="399" s="1"/>
        <i x="432" s="1"/>
        <i x="155" s="1"/>
        <i x="660" s="1"/>
        <i x="509" s="1"/>
        <i x="552" s="1"/>
        <i x="1074" s="1"/>
        <i x="548" s="1"/>
        <i x="940" s="1"/>
        <i x="30" s="1"/>
        <i x="397" s="1"/>
        <i x="169" s="1"/>
        <i x="916" s="1"/>
        <i x="1051" s="1"/>
        <i x="750" s="1"/>
        <i x="189" s="1"/>
        <i x="841" s="1"/>
        <i x="176" s="1"/>
        <i x="93" s="1"/>
        <i x="18" s="1"/>
        <i x="177" s="1"/>
        <i x="466" s="1"/>
        <i x="1185" s="1"/>
        <i x="200" s="1"/>
        <i x="355" s="1"/>
        <i x="73" s="1"/>
        <i x="845" s="1"/>
        <i x="313" s="1"/>
        <i x="464" s="1"/>
        <i x="71" s="1"/>
        <i x="263" s="1"/>
        <i x="505" s="1"/>
        <i x="259" s="1"/>
        <i x="856" s="1"/>
        <i x="264" s="1"/>
        <i x="1190" s="1"/>
        <i x="781" s="1"/>
        <i x="642" s="1"/>
        <i x="475" s="1"/>
        <i x="795" s="1"/>
        <i x="661" s="1"/>
        <i x="917" s="1"/>
        <i x="886" s="1"/>
        <i x="1022" s="1"/>
        <i x="965" s="1"/>
        <i x="1088" s="1"/>
        <i x="901" s="1"/>
        <i x="839" s="1"/>
        <i x="950" s="1"/>
        <i x="232" s="1"/>
        <i x="992" s="1"/>
        <i x="151" s="1"/>
        <i x="687" s="1"/>
        <i x="611" s="1"/>
        <i x="575" s="1"/>
        <i x="877" s="1"/>
        <i x="308" s="1"/>
        <i x="608" s="1"/>
        <i x="430" s="1"/>
        <i x="132" s="1"/>
        <i x="1016" s="1"/>
        <i x="405" s="1"/>
        <i x="752" s="1"/>
        <i x="420" s="1"/>
        <i x="1062" s="1"/>
        <i x="714" s="1"/>
        <i x="89" s="1"/>
        <i x="926" s="1"/>
        <i x="541" s="1"/>
        <i x="897" s="1"/>
        <i x="438" s="1"/>
        <i x="882" s="1"/>
        <i x="614" s="1"/>
        <i x="590" s="1"/>
        <i x="742" s="1"/>
        <i x="293" s="1"/>
        <i x="678" s="1"/>
        <i x="824" s="1"/>
        <i x="519" s="1"/>
        <i x="504" s="1"/>
        <i x="1073" s="1"/>
        <i x="1089" s="1"/>
        <i x="106" s="1"/>
        <i x="35" s="1"/>
        <i x="147" s="1"/>
        <i x="349" s="1"/>
        <i x="943" s="1"/>
        <i x="342" s="1"/>
        <i x="1152" s="1"/>
        <i x="490" s="1"/>
        <i x="1126" s="1"/>
        <i x="267" s="1"/>
        <i x="302" s="1"/>
        <i x="127" s="1"/>
        <i x="868" s="1"/>
        <i x="803" s="1"/>
        <i x="27" s="1"/>
        <i x="899" s="1"/>
        <i x="991" s="1"/>
        <i x="15" s="1"/>
        <i x="582" s="1"/>
        <i x="728" s="1"/>
        <i x="58" s="1"/>
        <i x="1098" s="1"/>
        <i x="709" s="1"/>
        <i x="909" s="1"/>
        <i x="620" s="1"/>
        <i x="1005" s="1"/>
        <i x="69" s="1"/>
        <i x="56" s="1"/>
        <i x="820" s="1"/>
        <i x="938" s="1"/>
        <i x="822" s="1"/>
        <i x="893" s="1"/>
        <i x="993" s="1"/>
        <i x="372" s="1"/>
        <i x="481" s="1"/>
        <i x="736" s="1"/>
        <i x="830" s="1"/>
        <i x="1050" s="1"/>
        <i x="445" s="1"/>
        <i x="796" s="1"/>
        <i x="53" s="1"/>
        <i x="191" s="1"/>
        <i x="870" s="1"/>
        <i x="311" s="1"/>
        <i x="593" s="1"/>
        <i x="851" s="1"/>
        <i x="538" s="1"/>
        <i x="68" s="1"/>
        <i x="862" s="1"/>
        <i x="1063" s="1"/>
        <i x="1081" s="1"/>
        <i x="91" s="1"/>
        <i x="554" s="1"/>
        <i x="567" s="1"/>
        <i x="780" s="1"/>
        <i x="495" s="1"/>
        <i x="297" s="1"/>
        <i x="561" s="1"/>
        <i x="731" s="1"/>
        <i x="598" s="1"/>
        <i x="216" s="1"/>
        <i x="1047" s="1"/>
        <i x="114" s="1"/>
        <i x="645" s="1"/>
        <i x="1134" s="1"/>
        <i x="626" s="1"/>
        <i x="43" s="1"/>
        <i x="31" s="1"/>
        <i x="165" s="1"/>
        <i x="589" s="1"/>
        <i x="345" s="1"/>
        <i x="130" s="1"/>
        <i x="1132" s="1"/>
        <i x="921" s="1"/>
        <i x="118" s="1"/>
        <i x="337" s="1"/>
        <i x="911" s="1"/>
        <i x="948" s="1"/>
        <i x="494" s="1"/>
        <i x="1029" s="1"/>
        <i x="1090" s="1"/>
        <i x="1137" s="1"/>
        <i x="472" s="1"/>
        <i x="500" s="1"/>
        <i x="390" s="1"/>
        <i x="9" s="1"/>
        <i x="680" s="1"/>
        <i x="446" s="1"/>
        <i x="458" s="1"/>
        <i x="178" s="1"/>
        <i x="771" s="1"/>
        <i x="437" s="1"/>
        <i x="125" s="1"/>
        <i x="288" s="1"/>
        <i x="1079" s="1"/>
        <i x="465" s="1"/>
        <i x="476" s="1"/>
        <i x="587" s="1"/>
        <i x="429" s="1"/>
        <i x="522" s="1"/>
        <i x="881" s="1"/>
        <i x="1028" s="1"/>
        <i x="410" s="1"/>
        <i x="747" s="1"/>
        <i x="1164" s="1"/>
        <i x="1172" s="1"/>
        <i x="340" s="1"/>
        <i x="935" s="1"/>
        <i x="586" s="1"/>
        <i x="873" s="1"/>
        <i x="779" s="1"/>
        <i x="1162" s="1"/>
        <i x="391" s="1"/>
        <i x="343" s="1"/>
        <i x="521" s="1"/>
        <i x="140" s="1"/>
        <i x="638" s="1"/>
        <i x="394" s="1"/>
        <i x="959" s="1"/>
        <i x="94" s="1"/>
        <i x="1109" s="1"/>
        <i x="539" s="1"/>
        <i x="1046" s="1"/>
        <i x="711" s="1"/>
        <i x="735" s="1"/>
        <i x="618" s="1"/>
        <i x="122" s="1"/>
        <i x="16" s="1"/>
        <i x="867" s="1"/>
        <i x="36" s="1"/>
        <i x="153" s="1"/>
        <i x="1148" s="1"/>
        <i x="119" s="1"/>
        <i x="763" s="1"/>
        <i x="117" s="1"/>
        <i x="1034" s="1"/>
        <i x="925" s="1"/>
        <i x="164" s="1"/>
        <i x="32" s="1"/>
        <i x="401" s="1"/>
        <i x="239" s="1"/>
        <i x="668" s="1"/>
        <i x="499" s="1"/>
        <i x="179" s="1"/>
        <i x="283" s="1"/>
        <i x="1041" s="1"/>
        <i x="83" s="1"/>
        <i x="1153" s="1"/>
        <i x="271" s="1"/>
        <i x="607" s="1"/>
        <i x="249" s="1"/>
        <i x="1040" s="1"/>
        <i x="407" s="1"/>
        <i x="875" s="1"/>
        <i x="309" s="1"/>
        <i x="46" s="1"/>
        <i x="44" s="1"/>
        <i x="2" s="1"/>
        <i x="471" s="1"/>
        <i x="1068" s="1"/>
        <i x="1133" s="1"/>
        <i x="515" s="1"/>
        <i x="808" s="1"/>
        <i x="384" s="1"/>
        <i x="1116" s="1"/>
        <i x="1021" s="1"/>
        <i x="599" s="1"/>
        <i x="307" s="1"/>
        <i x="508" s="1"/>
        <i x="627" s="1"/>
        <i x="1035" s="1"/>
        <i x="1192" s="1"/>
        <i x="879" s="1"/>
        <i x="700" s="1"/>
        <i x="229" s="1"/>
        <i x="319" s="1"/>
        <i x="918" s="1"/>
        <i x="157" s="1"/>
        <i x="63" s="1"/>
        <i x="82" s="1"/>
        <i x="502" s="1"/>
        <i x="533" s="1"/>
        <i x="578" s="1"/>
        <i x="640" s="1"/>
        <i x="512" s="1"/>
        <i x="850" s="1"/>
        <i x="813" s="1"/>
        <i x="761" s="1"/>
        <i x="0" s="1"/>
        <i x="1138" s="1"/>
        <i x="374" s="1"/>
        <i x="265" s="1"/>
        <i x="1075" s="1"/>
        <i x="814" s="1"/>
        <i x="890" s="1"/>
        <i x="511" s="1"/>
        <i x="647" s="1"/>
        <i x="741" s="1"/>
        <i x="34" s="1"/>
        <i x="1117" s="1"/>
        <i x="836" s="1"/>
        <i x="588" s="1"/>
        <i x="637" s="1"/>
        <i x="961" s="1"/>
        <i x="912" s="1"/>
        <i x="794" s="1"/>
        <i x="104" s="1"/>
        <i x="724" s="1"/>
        <i x="266" s="1"/>
        <i x="77" s="1"/>
        <i x="237" s="1"/>
        <i x="139" s="1"/>
        <i x="301" s="1"/>
        <i x="729" s="1"/>
        <i x="987" s="1"/>
        <i x="52" s="1"/>
        <i x="854" s="1"/>
        <i x="639" s="1"/>
        <i x="226" s="1"/>
        <i x="1140" s="1"/>
        <i x="1110" s="1"/>
        <i x="777" s="1"/>
        <i x="560" s="1"/>
        <i x="972" s="1"/>
        <i x="72" s="1"/>
        <i x="80" s="1"/>
        <i x="360" s="1"/>
        <i x="187" s="1"/>
        <i x="109" s="1"/>
        <i x="686" s="1"/>
        <i x="59" s="1"/>
        <i x="944" s="1"/>
        <i x="168" s="1"/>
        <i x="880" s="1"/>
        <i x="799" s="1"/>
        <i x="946" s="1"/>
        <i x="815" s="1"/>
        <i x="1082" s="1"/>
        <i x="749" s="1"/>
        <i x="182" s="1"/>
        <i x="276" s="1"/>
        <i x="174" s="1"/>
        <i x="957" s="1"/>
        <i x="786" s="1"/>
        <i x="615" s="1"/>
        <i x="632" s="1"/>
        <i x="366" s="1"/>
        <i x="1120" s="1"/>
        <i x="770" s="1"/>
        <i x="967" s="1"/>
        <i x="591" s="1"/>
        <i x="596" s="1"/>
        <i x="492" s="1"/>
        <i x="359" s="1"/>
        <i x="1144" s="1"/>
        <i x="872" s="1"/>
        <i x="486" s="1"/>
        <i x="41" s="1"/>
        <i x="547" s="1"/>
        <i x="697" s="1"/>
        <i x="450" s="1"/>
        <i x="989" s="1"/>
        <i x="241" s="1"/>
        <i x="457" s="1"/>
        <i x="536" s="1"/>
        <i x="1183" s="1"/>
        <i x="1026" s="1"/>
        <i x="195" s="1"/>
        <i x="97" s="1"/>
        <i x="403" s="1"/>
        <i x="344" s="1"/>
        <i x="818" s="1"/>
        <i x="670" s="1"/>
        <i x="756" s="1"/>
        <i x="199" s="1"/>
        <i x="773" s="1"/>
        <i x="320" s="1"/>
        <i x="10" s="1"/>
        <i x="4" s="1"/>
        <i x="910" s="1"/>
        <i x="966" s="1"/>
        <i x="392" s="1"/>
        <i x="581" s="1"/>
        <i x="762" s="1"/>
        <i x="558" s="1"/>
        <i x="364" s="1"/>
        <i x="528" s="1"/>
        <i x="70" s="1"/>
        <i x="120" s="1"/>
        <i x="984" s="1"/>
        <i x="549" s="1"/>
        <i x="353" s="1"/>
        <i x="433" s="1"/>
        <i x="388" s="1"/>
        <i x="1072" s="1"/>
        <i x="606" s="1"/>
        <i x="213" s="1"/>
        <i x="1101" s="1"/>
        <i x="520" s="1"/>
        <i x="282" s="1"/>
        <i x="848" s="1"/>
        <i x="296" s="1"/>
        <i x="963" s="1"/>
        <i x="221" s="1"/>
        <i x="455" s="1"/>
        <i x="825" s="1"/>
        <i x="163" s="1"/>
        <i x="658" s="1"/>
        <i x="648" s="1"/>
        <i x="86" s="1"/>
        <i x="953" s="1"/>
        <i x="416" s="1"/>
        <i x="800" s="1"/>
        <i x="982" s="1"/>
        <i x="192" s="1"/>
        <i x="846" s="1"/>
        <i x="650" s="1"/>
        <i x="1078" s="1"/>
        <i x="1121" s="1"/>
        <i x="534" s="1"/>
        <i x="540" s="1"/>
        <i x="1087" s="1"/>
        <i x="973" s="1"/>
        <i x="919" s="1"/>
        <i x="705" s="1"/>
        <i x="1083" s="1"/>
        <i x="885" s="1"/>
        <i x="659" s="1"/>
        <i x="681" s="1"/>
        <i x="821" s="1"/>
        <i x="766" s="1"/>
        <i x="527" s="1"/>
        <i x="713" s="1"/>
        <i x="556" s="1"/>
        <i x="887" s="1"/>
        <i x="281" s="1"/>
        <i x="346" s="1"/>
        <i x="287" s="1"/>
        <i x="835" s="1"/>
        <i x="603" s="1"/>
        <i x="625" s="1"/>
        <i x="523" s="1"/>
        <i x="367" s="1"/>
        <i x="1004" s="1"/>
        <i x="361" s="1"/>
        <i x="1107" s="1"/>
        <i x="1048" s="1"/>
        <i x="744" s="1"/>
        <i x="1189" s="1"/>
        <i x="463" s="1"/>
        <i x="170" s="1"/>
        <i x="269" s="1"/>
        <i x="562" s="1"/>
        <i x="6" s="1"/>
        <i x="173" s="1"/>
        <i x="1025" s="1"/>
        <i x="100" s="1"/>
        <i x="706" s="1"/>
        <i x="692" s="1"/>
        <i x="1059" s="1"/>
        <i x="1129" s="1"/>
        <i x="252" s="1"/>
        <i x="525" s="1"/>
        <i x="975" s="1"/>
        <i x="326" s="1"/>
        <i x="248" s="1"/>
        <i x="107" s="1"/>
        <i x="624" s="1"/>
        <i x="328" s="1"/>
        <i x="201" s="1"/>
        <i x="529" s="1"/>
        <i x="453" s="1"/>
        <i x="805" s="1"/>
        <i x="469" s="1"/>
        <i x="863" s="1"/>
        <i x="1020" s="1"/>
        <i x="889" s="1"/>
        <i x="631" s="1"/>
        <i x="1115" s="1"/>
        <i x="365" s="1"/>
        <i x="767" s="1"/>
        <i x="833" s="1"/>
        <i x="1011" s="1"/>
        <i x="717" s="1"/>
        <i x="141" s="1"/>
        <i x="1112" s="1"/>
        <i x="423" s="1"/>
        <i x="1069" s="1"/>
        <i x="1186" s="1"/>
        <i x="652" s="1"/>
        <i x="1149" s="1"/>
        <i x="787" s="1"/>
        <i x="769" s="1"/>
        <i x="931" s="1"/>
        <i x="223" s="1"/>
        <i x="1080" s="1"/>
        <i x="222" s="1"/>
        <i x="354" s="1"/>
        <i x="1124" s="1"/>
        <i x="1135" s="1"/>
        <i x="1142" s="1"/>
        <i x="1146" s="1"/>
        <i x="1163" s="1"/>
        <i x="389" s="1"/>
        <i x="904" s="1"/>
        <i x="996" s="1"/>
        <i x="740" s="1"/>
        <i x="119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184FD2AE-6AFD-4DF2-A086-658052BCBD72}" sourceName="OrderID">
  <pivotTables>
    <pivotTable tabId="3" name="PivotTable4"/>
  </pivotTables>
  <data>
    <tabular pivotCacheId="125592420">
      <items count="12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InCart" xr10:uid="{39FCB726-DDFB-4E10-959D-5B46E5A159FE}" sourceName="ItemsInCart">
  <pivotTables>
    <pivotTable tabId="6" name="PivotTable10"/>
  </pivotTables>
  <data>
    <tabular pivotCacheId="864750296">
      <items count="11">
        <i x="9" s="1"/>
        <i x="7" s="1"/>
        <i x="1" s="1"/>
        <i x="4" s="1"/>
        <i x="3" s="1"/>
        <i x="5" s="1"/>
        <i x="0" s="1"/>
        <i x="2" s="1"/>
        <i x="6" s="1"/>
        <i x="8"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Price1" xr10:uid="{6BF42902-94EA-4BF8-874F-80B7B10BE164}" sourceName="UnitPrice">
  <pivotTables>
    <pivotTable tabId="5" name="PivotTable8"/>
  </pivotTables>
  <data>
    <tabular pivotCacheId="679587535">
      <items count="1194">
        <i x="1154" s="1"/>
        <i x="67" s="1"/>
        <i x="861" s="1"/>
        <i x="251" s="1"/>
        <i x="473" s="1"/>
        <i x="484" s="1"/>
        <i x="240" s="1"/>
        <i x="542" s="1"/>
        <i x="336" s="1"/>
        <i x="628" s="1"/>
        <i x="772" s="1"/>
        <i x="128" s="1"/>
        <i x="774" s="1"/>
        <i x="708" s="1"/>
        <i x="675" s="1"/>
        <i x="832" s="1"/>
        <i x="424" s="1"/>
        <i x="1019" s="1"/>
        <i x="688" s="1"/>
        <i x="601" s="1"/>
        <i x="479" s="1"/>
        <i x="602" s="1"/>
        <i x="1045" s="1"/>
        <i x="1014" s="1"/>
        <i x="922" s="1"/>
        <i x="1151" s="1"/>
        <i x="809" s="1"/>
        <i x="1006" s="1"/>
        <i x="702" s="1"/>
        <i x="49" s="1"/>
        <i x="303" s="1"/>
        <i x="544" s="1"/>
        <i x="604" s="1"/>
        <i x="682" s="1"/>
        <i x="488" s="1"/>
        <i x="759" s="1"/>
        <i x="1093" s="1"/>
        <i x="1127" s="1"/>
        <i x="1038" s="1"/>
        <i x="411" s="1"/>
        <i x="387" s="1"/>
        <i x="758" s="1"/>
        <i x="927" s="1"/>
        <i x="532" s="1"/>
        <i x="1071" s="1"/>
        <i x="231" s="1"/>
        <i x="250" s="1"/>
        <i x="62" s="1"/>
        <i x="506" s="1"/>
        <i x="733" s="1"/>
        <i x="136" s="1"/>
        <i x="784" s="1"/>
        <i x="467" s="1"/>
        <i x="630" s="1"/>
        <i x="657" s="1"/>
        <i x="526" s="1"/>
        <i x="193" s="1"/>
        <i x="108" s="1"/>
        <i x="92" s="1"/>
        <i x="703" s="1"/>
        <i x="11" s="1"/>
        <i x="22" s="1"/>
        <i x="1114" s="1"/>
        <i x="669" s="1"/>
        <i x="712" s="1"/>
        <i x="431" s="1"/>
        <i x="684" s="1"/>
        <i x="398" s="1"/>
        <i x="350" s="1"/>
        <i x="721" s="1"/>
        <i x="279" s="1"/>
        <i x="417" s="1"/>
        <i x="557" s="1"/>
        <i x="932" s="1"/>
        <i x="306" s="1"/>
        <i x="426" s="1"/>
        <i x="26" s="1"/>
        <i x="230" s="1"/>
        <i x="219" s="1"/>
        <i x="902" s="1"/>
        <i x="20" s="1"/>
        <i x="478" s="1"/>
        <i x="456" s="1"/>
        <i x="1100" s="1"/>
        <i x="634" s="1"/>
        <i x="775" s="1"/>
        <i x="378" s="1"/>
        <i x="351" s="1"/>
        <i x="923" s="1"/>
        <i x="716" s="1"/>
        <i x="275" s="1"/>
        <i x="235" s="1"/>
        <i x="162" s="1"/>
        <i x="292" s="1"/>
        <i x="406" s="1"/>
        <i x="312" s="1"/>
        <i x="585" s="1"/>
        <i x="535" s="1"/>
        <i x="175" s="1"/>
        <i x="798" s="1"/>
        <i x="710" s="1"/>
        <i x="135" s="1"/>
        <i x="443" s="1"/>
        <i x="976" s="1"/>
        <i x="1044" s="1"/>
        <i x="1171" s="1"/>
        <i x="572" s="1"/>
        <i x="102" s="1"/>
        <i x="746" s="1"/>
        <i x="1077" s="1"/>
        <i x="324" s="1"/>
        <i x="600" s="1"/>
        <i x="928" s="1"/>
        <i x="662" s="1"/>
        <i x="594" s="1"/>
        <i x="1001" s="1"/>
        <i x="1128" s="1"/>
        <i x="1042" s="1"/>
        <i x="896" s="1"/>
        <i x="393" s="1"/>
        <i x="452" s="1"/>
        <i x="256" s="1"/>
        <i x="37" s="1"/>
        <i x="827" s="1"/>
        <i x="760" s="1"/>
        <i x="1102" s="1"/>
        <i x="980" s="1"/>
        <i x="831" s="1"/>
        <i x="576" s="1"/>
        <i x="48" s="1"/>
        <i x="65" s="1"/>
        <i x="440" s="1"/>
        <i x="409" s="1"/>
        <i x="1103" s="1"/>
        <i x="131" s="1"/>
        <i x="641" s="1"/>
        <i x="1056" s="1"/>
        <i x="166" s="1"/>
        <i x="1023" s="1"/>
        <i x="656" s="1"/>
        <i x="829" s="1"/>
        <i x="530" s="1"/>
        <i x="968" s="1"/>
        <i x="74" s="1"/>
        <i x="277" s="1"/>
        <i x="224" s="1"/>
        <i x="315" s="1"/>
        <i x="1168" s="1"/>
        <i x="555" s="1"/>
        <i x="699" s="1"/>
        <i x="701" s="1"/>
        <i x="1160" s="1"/>
        <i x="698" s="1"/>
        <i x="386" s="1"/>
        <i x="695" s="1"/>
        <i x="513" s="1"/>
        <i x="375" s="1"/>
        <i x="720" s="1"/>
        <i x="725" s="1"/>
        <i x="613" s="1"/>
        <i x="545" s="1"/>
        <i x="404" s="1"/>
        <i x="290" s="1"/>
        <i x="693" s="1"/>
        <i x="160" s="1"/>
        <i x="258" s="1"/>
        <i x="150" s="1"/>
        <i x="971" s="1"/>
        <i x="1188" s="1"/>
        <i x="843" s="1"/>
        <i x="295" s="1"/>
        <i x="974" s="1"/>
        <i x="454" s="1"/>
        <i x="945" s="1"/>
        <i x="743" s="1"/>
        <i x="937" s="1"/>
        <i x="497" s="1"/>
        <i x="218" s="1"/>
        <i x="990" s="1"/>
        <i x="363" s="1"/>
        <i x="88" s="1"/>
        <i x="793" s="1"/>
        <i x="95" s="1"/>
        <i x="719" s="1"/>
        <i x="413" s="1"/>
        <i x="930" s="1"/>
        <i x="860" s="1"/>
        <i x="551" s="1"/>
        <i x="207" s="1"/>
        <i x="715" s="1"/>
        <i x="61" s="1"/>
        <i x="1076" s="1"/>
        <i x="332" s="1"/>
        <i x="1092" s="1"/>
        <i x="305" s="1"/>
        <i x="66" s="1"/>
        <i x="395" s="1"/>
        <i x="1170" s="1"/>
        <i x="718" s="1"/>
        <i x="64" s="1"/>
        <i x="949" s="1"/>
        <i x="1055" s="1"/>
        <i x="1165" s="1"/>
        <i x="730" s="1"/>
        <i x="310" s="1"/>
        <i x="498" s="1"/>
        <i x="654" s="1"/>
        <i x="563" s="1"/>
        <i x="412" s="1"/>
        <i x="871" s="1"/>
        <i x="186" s="1"/>
        <i x="806" s="1"/>
        <i x="8" s="1"/>
        <i x="444" s="1"/>
        <i x="619" s="1"/>
        <i x="977" s="1"/>
        <i x="503" s="1"/>
        <i x="722" s="1"/>
        <i x="286" s="1"/>
        <i x="414" s="1"/>
        <i x="908" s="1"/>
        <i x="317" s="1"/>
        <i x="958" s="1"/>
        <i x="865" s="1"/>
        <i x="955" s="1"/>
        <i x="460" s="1"/>
        <i x="243" s="1"/>
        <i x="584" s="1"/>
        <i x="748" s="1"/>
        <i x="439" s="1"/>
        <i x="85" s="1"/>
        <i x="145" s="1"/>
        <i x="892" s="1"/>
        <i x="205" s="1"/>
        <i x="812" s="1"/>
        <i x="171" s="1"/>
        <i x="318" s="1"/>
        <i x="489" s="1"/>
        <i x="7" s="1"/>
        <i x="644" s="1"/>
        <i x="323" s="1"/>
        <i x="694" s="1"/>
        <i x="1" s="1"/>
        <i x="42" s="1"/>
        <i x="321" s="1"/>
        <i x="524" s="1"/>
        <i x="314" s="1"/>
        <i x="583" s="1"/>
        <i x="891" s="1"/>
        <i x="679" s="1"/>
        <i x="559" s="1"/>
        <i x="755" s="1"/>
        <i x="894" s="1"/>
        <i x="954" s="1"/>
        <i x="546" s="1"/>
        <i x="1174" s="1"/>
        <i x="448" s="1"/>
        <i x="28" s="1"/>
        <i x="400" s="1"/>
        <i x="289" s="1"/>
        <i x="952" s="1"/>
        <i x="427" s="1"/>
        <i x="1094" s="1"/>
        <i x="566" s="1"/>
        <i x="33" s="1"/>
        <i x="676" s="1"/>
        <i x="1179" s="1"/>
        <i x="84" s="1"/>
        <i x="516" s="1"/>
        <i x="341" s="1"/>
        <i x="791" s="1"/>
        <i x="507" s="1"/>
        <i x="883" s="1"/>
        <i x="261" s="1"/>
        <i x="352" s="1"/>
        <i x="819" s="1"/>
        <i x="78" s="1"/>
        <i x="783" s="1"/>
        <i x="1003" s="1"/>
        <i x="691" s="1"/>
        <i x="834" s="1"/>
        <i x="50" s="1"/>
        <i x="1037" s="1"/>
        <i x="898" s="1"/>
        <i x="12" s="1"/>
        <i x="90" s="1"/>
        <i x="274" s="1"/>
        <i x="1012" s="1"/>
        <i x="451" s="1"/>
        <i x="358" s="1"/>
        <i x="415" s="1"/>
        <i x="616" s="1"/>
        <i x="778" s="1"/>
        <i x="1180" s="1"/>
        <i x="105" s="1"/>
        <i x="577" s="1"/>
        <i x="183" s="1"/>
        <i x="727" s="1"/>
        <i x="579" s="1"/>
        <i x="209" s="1"/>
        <i x="655" s="1"/>
        <i x="864" s="1"/>
        <i x="1187" s="1"/>
        <i x="113" s="1"/>
        <i x="1119" s="1"/>
        <i x="828" s="1"/>
        <i x="385" s="1"/>
        <i x="381" s="1"/>
        <i x="939" s="1"/>
        <i x="211" s="1"/>
        <i x="663" s="1"/>
        <i x="723" s="1"/>
        <i x="1113" s="1"/>
        <i x="690" s="1"/>
        <i x="1086" s="1"/>
        <i x="837" s="1"/>
        <i x="517" s="1"/>
        <i x="333" s="1"/>
        <i x="1147" s="1"/>
        <i x="1058" s="1"/>
        <i x="134" s="1"/>
        <i x="496" s="1"/>
        <i x="376" s="1"/>
        <i x="13" s="1"/>
        <i x="99" s="1"/>
        <i x="501" s="1"/>
        <i x="1177" s="1"/>
        <i x="592" s="1"/>
        <i x="335" s="1"/>
        <i x="422" s="1"/>
        <i x="362" s="1"/>
        <i x="284" s="1"/>
        <i x="1166" s="1"/>
        <i x="1085" s="1"/>
        <i x="1084" s="1"/>
        <i x="47" s="1"/>
        <i x="1106" s="1"/>
        <i x="185" s="1"/>
        <i x="161" s="1"/>
        <i x="597" s="1"/>
        <i x="1169" s="1"/>
        <i x="571" s="1"/>
        <i x="847" s="1"/>
        <i x="184" s="1"/>
        <i x="419" s="1"/>
        <i x="196" s="1"/>
        <i x="807" s="1"/>
        <i x="149" s="1"/>
        <i x="103" s="1"/>
        <i x="242" s="1"/>
        <i x="144" s="1"/>
        <i x="110" s="1"/>
        <i x="247" s="1"/>
        <i x="436" s="1"/>
        <i x="197" s="1"/>
        <i x="785" s="1"/>
        <i x="1167" s="1"/>
        <i x="1067" s="1"/>
        <i x="245" s="1"/>
        <i x="190" s="1"/>
        <i x="1158" s="1"/>
        <i x="19" s="1"/>
        <i x="1155" s="1"/>
        <i x="732" s="1"/>
        <i x="334" s="1"/>
        <i x="87" s="1"/>
        <i x="1008" s="1"/>
        <i x="704" s="1"/>
        <i x="98" s="1"/>
        <i x="550" s="1"/>
        <i x="206" s="1"/>
        <i x="474" s="1"/>
        <i x="612" s="1"/>
        <i x="969" s="1"/>
        <i x="24" s="1"/>
        <i x="664" s="1"/>
        <i x="322" s="1"/>
        <i x="96" s="1"/>
        <i x="1017" s="1"/>
        <i x="876" s="1"/>
        <i x="683" s="1"/>
        <i x="1104" s="1"/>
        <i x="339" s="1"/>
        <i x="621" s="1"/>
        <i x="234" s="1"/>
        <i x="802" s="1"/>
        <i x="900" s="1"/>
        <i x="273" s="1"/>
        <i x="689" s="1"/>
        <i x="853" s="1"/>
        <i x="751" s="1"/>
        <i x="981" s="1"/>
        <i x="1024" s="1"/>
        <i x="5" s="1"/>
        <i x="38" s="1"/>
        <i x="985" s="1"/>
        <i x="776" s="1"/>
        <i x="998" s="1"/>
        <i x="924" s="1"/>
        <i x="537" s="1"/>
        <i x="629" s="1"/>
        <i x="262" s="1"/>
        <i x="194" s="1"/>
        <i x="1031" s="1"/>
        <i x="569" s="1"/>
        <i x="137" s="1"/>
        <i x="1111" s="1"/>
        <i x="462" s="1"/>
        <i x="449" s="1"/>
        <i x="666" s="1"/>
        <i x="995" s="1"/>
        <i x="477" s="1"/>
        <i x="804" s="1"/>
        <i x="202" s="1"/>
        <i x="172" s="1"/>
        <i x="1064" s="1"/>
        <i x="810" s="1"/>
        <i x="1091" s="1"/>
        <i x="580" s="1"/>
        <i x="39" s="1"/>
        <i x="667" s="1"/>
        <i x="855" s="1"/>
        <i x="633" s="1"/>
        <i x="745" s="1"/>
        <i x="377" s="1"/>
        <i x="330" s="1"/>
        <i x="994" s="1"/>
        <i x="857" s="1"/>
        <i x="1191" s="1"/>
        <i x="428" s="1"/>
        <i x="382" s="1"/>
        <i x="254" s="1"/>
        <i x="470" s="1"/>
        <i x="129" s="1"/>
        <i x="255" s="1"/>
        <i x="347" s="1"/>
        <i x="212" s="1"/>
        <i x="1053" s="1"/>
        <i x="970" s="1"/>
        <i x="884" s="1"/>
        <i x="988" s="1"/>
        <i x="920" s="1"/>
        <i x="1010" s="1"/>
        <i x="156" s="1"/>
        <i x="543" s="1"/>
        <i x="368" s="1"/>
        <i x="823" s="1"/>
        <i x="142" s="1"/>
        <i x="3" s="1"/>
        <i x="23" s="1"/>
        <i x="1054" s="1"/>
        <i x="225" s="1"/>
        <i x="878" s="1"/>
        <i x="605" s="1"/>
        <i x="1049" s="1"/>
        <i x="316" s="1"/>
        <i x="126" s="1"/>
        <i x="1096" s="1"/>
        <i x="941" s="1"/>
        <i x="1013" s="1"/>
        <i x="123" s="1"/>
        <i x="299" s="1"/>
        <i x="764" s="1"/>
        <i x="54" s="1"/>
        <i x="962" s="1"/>
        <i x="1176" s="1"/>
        <i x="329" s="1"/>
        <i x="754" s="1"/>
        <i x="983" s="1"/>
        <i x="124" s="1"/>
        <i x="396" s="1"/>
        <i x="300" s="1"/>
        <i x="421" s="1"/>
        <i x="116" s="1"/>
        <i x="905" s="1"/>
        <i x="811" s="1"/>
        <i x="1131" s="1"/>
        <i x="979" s="1"/>
        <i x="379" s="1"/>
        <i x="294" s="1"/>
        <i x="138" s="1"/>
        <i x="1173" s="1"/>
        <i x="903" s="1"/>
        <i x="933" s="1"/>
        <i x="1033" s="1"/>
        <i x="159" s="1"/>
        <i x="1007" s="1"/>
        <i x="298" s="1"/>
        <i x="1150" s="1"/>
        <i x="425" s="1"/>
        <i x="133" s="1"/>
        <i x="1143" s="1"/>
        <i x="215" s="1"/>
        <i x="978" s="1"/>
        <i x="514" s="1"/>
        <i x="1070" s="1"/>
        <i x="610" s="1"/>
        <i x="936" s="1"/>
        <i x="338" s="1"/>
        <i x="214" s="1"/>
        <i x="947" s="1"/>
        <i x="1156" s="1"/>
        <i x="636" s="1"/>
        <i x="371" s="1"/>
        <i x="565" s="1"/>
        <i x="757" s="1"/>
        <i x="906" s="1"/>
        <i x="111" s="1"/>
        <i x="270" s="1"/>
        <i x="418" s="1"/>
        <i x="233" s="1"/>
        <i x="79" s="1"/>
        <i x="370" s="1"/>
        <i x="57" s="1"/>
        <i x="768" s="1"/>
        <i x="1097" s="1"/>
        <i x="442" s="1"/>
        <i x="1015" s="1"/>
        <i x="1157" s="1"/>
        <i x="180" s="1"/>
        <i x="1061" s="1"/>
        <i x="866" s="1"/>
        <i x="1039" s="1"/>
        <i x="45" s="1"/>
        <i x="244" s="1"/>
        <i x="236" s="1"/>
        <i x="148" s="1"/>
        <i x="997" s="1"/>
        <i x="531" s="1"/>
        <i x="1057" s="1"/>
        <i x="842" s="1"/>
        <i x="217" s="1"/>
        <i x="765" s="1"/>
        <i x="895" s="1"/>
        <i x="1123" s="1"/>
        <i x="869" s="1"/>
        <i x="1159" s="1"/>
        <i x="726" s="1"/>
        <i x="782" s="1"/>
        <i x="665" s="1"/>
        <i x="434" s="1"/>
        <i x="441" s="1"/>
        <i x="797" s="1"/>
        <i x="859" s="1"/>
        <i x="874" s="1"/>
        <i x="158" s="1"/>
        <i x="1161" s="1"/>
        <i x="934" s="1"/>
        <i x="380" s="1"/>
        <i x="685" s="1"/>
        <i x="739" s="1"/>
        <i x="553" s="1"/>
        <i x="459" s="1"/>
        <i x="480" s="1"/>
        <i x="1108" s="1"/>
        <i x="753" s="1"/>
        <i x="1125" s="1"/>
        <i x="402" s="1"/>
        <i x="285" s="1"/>
        <i x="646" s="1"/>
        <i x="198" s="1"/>
        <i x="373" s="1"/>
        <i x="651" s="1"/>
        <i x="623" s="1"/>
        <i x="673" s="1"/>
        <i x="246" s="1"/>
        <i x="21" s="1"/>
        <i x="1178" s="1"/>
        <i x="568" s="1"/>
        <i x="40" s="1"/>
        <i x="1145" s="1"/>
        <i x="55" s="1"/>
        <i x="291" s="1"/>
        <i x="487" s="1"/>
        <i x="1095" s="1"/>
        <i x="483" s="1"/>
        <i x="1009" s="1"/>
        <i x="1060" s="1"/>
        <i x="1141" s="1"/>
        <i x="790" s="1"/>
        <i x="1105" s="1"/>
        <i x="203" s="1"/>
        <i x="210" s="1"/>
        <i x="672" s="1"/>
        <i x="348" s="1"/>
        <i x="844" s="1"/>
        <i x="327" s="1"/>
        <i x="677" s="1"/>
        <i x="325" s="1"/>
        <i x="1066" s="1"/>
        <i x="570" s="1"/>
        <i x="278" s="1"/>
        <i x="1032" s="1"/>
        <i x="188" s="1"/>
        <i x="840" s="1"/>
        <i x="564" s="1"/>
        <i x="960" s="1"/>
        <i x="227" s="1"/>
        <i x="849" s="1"/>
        <i x="643" s="1"/>
        <i x="1018" s="1"/>
        <i x="914" s="1"/>
        <i x="1027" s="1"/>
        <i x="635" s="1"/>
        <i x="1181" s="1"/>
        <i x="649" s="1"/>
        <i x="852" s="1"/>
        <i x="1099" s="1"/>
        <i x="671" s="1"/>
        <i x="220" s="1"/>
        <i x="356" s="1"/>
        <i x="915" s="1"/>
        <i x="115" s="1"/>
        <i x="369" s="1"/>
        <i x="1184" s="1"/>
        <i x="510" s="1"/>
        <i x="738" s="1"/>
        <i x="956" s="1"/>
        <i x="101" s="1"/>
        <i x="482" s="1"/>
        <i x="1136" s="1"/>
        <i x="653" s="1"/>
        <i x="76" s="1"/>
        <i x="913" s="1"/>
        <i x="167" s="1"/>
        <i x="238" s="1"/>
        <i x="574" s="1"/>
        <i x="792" s="1"/>
        <i x="595" s="1"/>
        <i x="228" s="1"/>
        <i x="707" s="1"/>
        <i x="737" s="1"/>
        <i x="696" s="1"/>
        <i x="51" s="1"/>
        <i x="1182" s="1"/>
        <i x="609" s="1"/>
        <i x="816" s="1"/>
        <i x="1043" s="1"/>
        <i x="1065" s="1"/>
        <i x="999" s="1"/>
        <i x="14" s="1"/>
        <i x="383" s="1"/>
        <i x="929" s="1"/>
        <i x="81" s="1"/>
        <i x="888" s="1"/>
        <i x="622" s="1"/>
        <i x="907" s="1"/>
        <i x="801" s="1"/>
        <i x="75" s="1"/>
        <i x="817" s="1"/>
        <i x="152" s="1"/>
        <i x="272" s="1"/>
        <i x="25" s="1"/>
        <i x="143" s="1"/>
        <i x="461" s="1"/>
        <i x="518" s="1"/>
        <i x="181" s="1"/>
        <i x="826" s="1"/>
        <i x="280" s="1"/>
        <i x="485" s="1"/>
        <i x="942" s="1"/>
        <i x="257" s="1"/>
        <i x="260" s="1"/>
        <i x="951" s="1"/>
        <i x="154" s="1"/>
        <i x="208" s="1"/>
        <i x="1118" s="1"/>
        <i x="357" s="1"/>
        <i x="304" s="1"/>
        <i x="789" s="1"/>
        <i x="1036" s="1"/>
        <i x="1130" s="1"/>
        <i x="112" s="1"/>
        <i x="121" s="1"/>
        <i x="1002" s="1"/>
        <i x="617" s="1"/>
        <i x="146" s="1"/>
        <i x="838" s="1"/>
        <i x="1052" s="1"/>
        <i x="964" s="1"/>
        <i x="408" s="1"/>
        <i x="204" s="1"/>
        <i x="253" s="1"/>
        <i x="1030" s="1"/>
        <i x="435" s="1"/>
        <i x="447" s="1"/>
        <i x="60" s="1"/>
        <i x="788" s="1"/>
        <i x="986" s="1"/>
        <i x="468" s="1"/>
        <i x="734" s="1"/>
        <i x="1122" s="1"/>
        <i x="493" s="1"/>
        <i x="1175" s="1"/>
        <i x="491" s="1"/>
        <i x="1000" s="1"/>
        <i x="573" s="1"/>
        <i x="1139" s="1"/>
        <i x="331" s="1"/>
        <i x="674" s="1"/>
        <i x="858" s="1"/>
        <i x="17" s="1"/>
        <i x="29" s="1"/>
        <i x="268" s="1"/>
        <i x="399" s="1"/>
        <i x="432" s="1"/>
        <i x="155" s="1"/>
        <i x="660" s="1"/>
        <i x="509" s="1"/>
        <i x="552" s="1"/>
        <i x="1074" s="1"/>
        <i x="548" s="1"/>
        <i x="940" s="1"/>
        <i x="30" s="1"/>
        <i x="397" s="1"/>
        <i x="169" s="1"/>
        <i x="916" s="1"/>
        <i x="1051" s="1"/>
        <i x="750" s="1"/>
        <i x="189" s="1"/>
        <i x="841" s="1"/>
        <i x="176" s="1"/>
        <i x="93" s="1"/>
        <i x="18" s="1"/>
        <i x="177" s="1"/>
        <i x="466" s="1"/>
        <i x="1185" s="1"/>
        <i x="200" s="1"/>
        <i x="355" s="1"/>
        <i x="73" s="1"/>
        <i x="845" s="1"/>
        <i x="313" s="1"/>
        <i x="464" s="1"/>
        <i x="71" s="1"/>
        <i x="263" s="1"/>
        <i x="505" s="1"/>
        <i x="259" s="1"/>
        <i x="856" s="1"/>
        <i x="264" s="1"/>
        <i x="1190" s="1"/>
        <i x="781" s="1"/>
        <i x="642" s="1"/>
        <i x="475" s="1"/>
        <i x="795" s="1"/>
        <i x="661" s="1"/>
        <i x="917" s="1"/>
        <i x="886" s="1"/>
        <i x="1022" s="1"/>
        <i x="965" s="1"/>
        <i x="1088" s="1"/>
        <i x="901" s="1"/>
        <i x="839" s="1"/>
        <i x="950" s="1"/>
        <i x="232" s="1"/>
        <i x="992" s="1"/>
        <i x="151" s="1"/>
        <i x="687" s="1"/>
        <i x="611" s="1"/>
        <i x="575" s="1"/>
        <i x="877" s="1"/>
        <i x="308" s="1"/>
        <i x="608" s="1"/>
        <i x="430" s="1"/>
        <i x="132" s="1"/>
        <i x="1016" s="1"/>
        <i x="405" s="1"/>
        <i x="752" s="1"/>
        <i x="420" s="1"/>
        <i x="1062" s="1"/>
        <i x="714" s="1"/>
        <i x="89" s="1"/>
        <i x="926" s="1"/>
        <i x="541" s="1"/>
        <i x="897" s="1"/>
        <i x="438" s="1"/>
        <i x="882" s="1"/>
        <i x="614" s="1"/>
        <i x="590" s="1"/>
        <i x="742" s="1"/>
        <i x="293" s="1"/>
        <i x="678" s="1"/>
        <i x="824" s="1"/>
        <i x="519" s="1"/>
        <i x="504" s="1"/>
        <i x="1073" s="1"/>
        <i x="1089" s="1"/>
        <i x="106" s="1"/>
        <i x="35" s="1"/>
        <i x="147" s="1"/>
        <i x="349" s="1"/>
        <i x="943" s="1"/>
        <i x="342" s="1"/>
        <i x="1152" s="1"/>
        <i x="490" s="1"/>
        <i x="1126" s="1"/>
        <i x="267" s="1"/>
        <i x="302" s="1"/>
        <i x="127" s="1"/>
        <i x="868" s="1"/>
        <i x="803" s="1"/>
        <i x="27" s="1"/>
        <i x="899" s="1"/>
        <i x="991" s="1"/>
        <i x="15" s="1"/>
        <i x="582" s="1"/>
        <i x="728" s="1"/>
        <i x="58" s="1"/>
        <i x="1098" s="1"/>
        <i x="709" s="1"/>
        <i x="909" s="1"/>
        <i x="620" s="1"/>
        <i x="1005" s="1"/>
        <i x="69" s="1"/>
        <i x="56" s="1"/>
        <i x="820" s="1"/>
        <i x="938" s="1"/>
        <i x="822" s="1"/>
        <i x="893" s="1"/>
        <i x="993" s="1"/>
        <i x="372" s="1"/>
        <i x="481" s="1"/>
        <i x="736" s="1"/>
        <i x="830" s="1"/>
        <i x="1050" s="1"/>
        <i x="445" s="1"/>
        <i x="796" s="1"/>
        <i x="53" s="1"/>
        <i x="191" s="1"/>
        <i x="870" s="1"/>
        <i x="311" s="1"/>
        <i x="593" s="1"/>
        <i x="851" s="1"/>
        <i x="538" s="1"/>
        <i x="68" s="1"/>
        <i x="862" s="1"/>
        <i x="1063" s="1"/>
        <i x="1081" s="1"/>
        <i x="91" s="1"/>
        <i x="554" s="1"/>
        <i x="567" s="1"/>
        <i x="780" s="1"/>
        <i x="495" s="1"/>
        <i x="297" s="1"/>
        <i x="561" s="1"/>
        <i x="731" s="1"/>
        <i x="598" s="1"/>
        <i x="216" s="1"/>
        <i x="1047" s="1"/>
        <i x="114" s="1"/>
        <i x="645" s="1"/>
        <i x="1134" s="1"/>
        <i x="626" s="1"/>
        <i x="43" s="1"/>
        <i x="31" s="1"/>
        <i x="165" s="1"/>
        <i x="589" s="1"/>
        <i x="345" s="1"/>
        <i x="130" s="1"/>
        <i x="1132" s="1"/>
        <i x="921" s="1"/>
        <i x="118" s="1"/>
        <i x="337" s="1"/>
        <i x="911" s="1"/>
        <i x="948" s="1"/>
        <i x="494" s="1"/>
        <i x="1029" s="1"/>
        <i x="1090" s="1"/>
        <i x="1137" s="1"/>
        <i x="472" s="1"/>
        <i x="500" s="1"/>
        <i x="390" s="1"/>
        <i x="9" s="1"/>
        <i x="680" s="1"/>
        <i x="446" s="1"/>
        <i x="458" s="1"/>
        <i x="178" s="1"/>
        <i x="771" s="1"/>
        <i x="437" s="1"/>
        <i x="125" s="1"/>
        <i x="288" s="1"/>
        <i x="1079" s="1"/>
        <i x="465" s="1"/>
        <i x="476" s="1"/>
        <i x="587" s="1"/>
        <i x="429" s="1"/>
        <i x="522" s="1"/>
        <i x="881" s="1"/>
        <i x="1028" s="1"/>
        <i x="410" s="1"/>
        <i x="747" s="1"/>
        <i x="1164" s="1"/>
        <i x="1172" s="1"/>
        <i x="340" s="1"/>
        <i x="935" s="1"/>
        <i x="586" s="1"/>
        <i x="873" s="1"/>
        <i x="779" s="1"/>
        <i x="1162" s="1"/>
        <i x="391" s="1"/>
        <i x="343" s="1"/>
        <i x="521" s="1"/>
        <i x="140" s="1"/>
        <i x="638" s="1"/>
        <i x="394" s="1"/>
        <i x="959" s="1"/>
        <i x="94" s="1"/>
        <i x="1109" s="1"/>
        <i x="539" s="1"/>
        <i x="1046" s="1"/>
        <i x="711" s="1"/>
        <i x="735" s="1"/>
        <i x="618" s="1"/>
        <i x="122" s="1"/>
        <i x="16" s="1"/>
        <i x="867" s="1"/>
        <i x="36" s="1"/>
        <i x="153" s="1"/>
        <i x="1148" s="1"/>
        <i x="119" s="1"/>
        <i x="763" s="1"/>
        <i x="117" s="1"/>
        <i x="1034" s="1"/>
        <i x="925" s="1"/>
        <i x="164" s="1"/>
        <i x="32" s="1"/>
        <i x="401" s="1"/>
        <i x="239" s="1"/>
        <i x="668" s="1"/>
        <i x="499" s="1"/>
        <i x="179" s="1"/>
        <i x="283" s="1"/>
        <i x="1041" s="1"/>
        <i x="83" s="1"/>
        <i x="1153" s="1"/>
        <i x="271" s="1"/>
        <i x="607" s="1"/>
        <i x="249" s="1"/>
        <i x="1040" s="1"/>
        <i x="407" s="1"/>
        <i x="875" s="1"/>
        <i x="309" s="1"/>
        <i x="46" s="1"/>
        <i x="44" s="1"/>
        <i x="2" s="1"/>
        <i x="471" s="1"/>
        <i x="1068" s="1"/>
        <i x="1133" s="1"/>
        <i x="515" s="1"/>
        <i x="808" s="1"/>
        <i x="384" s="1"/>
        <i x="1116" s="1"/>
        <i x="1021" s="1"/>
        <i x="599" s="1"/>
        <i x="307" s="1"/>
        <i x="508" s="1"/>
        <i x="627" s="1"/>
        <i x="1035" s="1"/>
        <i x="1192" s="1"/>
        <i x="879" s="1"/>
        <i x="700" s="1"/>
        <i x="229" s="1"/>
        <i x="319" s="1"/>
        <i x="918" s="1"/>
        <i x="157" s="1"/>
        <i x="63" s="1"/>
        <i x="82" s="1"/>
        <i x="502" s="1"/>
        <i x="533" s="1"/>
        <i x="578" s="1"/>
        <i x="640" s="1"/>
        <i x="512" s="1"/>
        <i x="850" s="1"/>
        <i x="813" s="1"/>
        <i x="761" s="1"/>
        <i x="0" s="1"/>
        <i x="1138" s="1"/>
        <i x="374" s="1"/>
        <i x="265" s="1"/>
        <i x="1075" s="1"/>
        <i x="814" s="1"/>
        <i x="890" s="1"/>
        <i x="511" s="1"/>
        <i x="647" s="1"/>
        <i x="741" s="1"/>
        <i x="34" s="1"/>
        <i x="1117" s="1"/>
        <i x="836" s="1"/>
        <i x="588" s="1"/>
        <i x="637" s="1"/>
        <i x="961" s="1"/>
        <i x="912" s="1"/>
        <i x="794" s="1"/>
        <i x="104" s="1"/>
        <i x="724" s="1"/>
        <i x="266" s="1"/>
        <i x="77" s="1"/>
        <i x="237" s="1"/>
        <i x="139" s="1"/>
        <i x="301" s="1"/>
        <i x="729" s="1"/>
        <i x="987" s="1"/>
        <i x="52" s="1"/>
        <i x="854" s="1"/>
        <i x="639" s="1"/>
        <i x="226" s="1"/>
        <i x="1140" s="1"/>
        <i x="1110" s="1"/>
        <i x="777" s="1"/>
        <i x="560" s="1"/>
        <i x="972" s="1"/>
        <i x="72" s="1"/>
        <i x="80" s="1"/>
        <i x="360" s="1"/>
        <i x="187" s="1"/>
        <i x="109" s="1"/>
        <i x="686" s="1"/>
        <i x="59" s="1"/>
        <i x="944" s="1"/>
        <i x="168" s="1"/>
        <i x="880" s="1"/>
        <i x="799" s="1"/>
        <i x="946" s="1"/>
        <i x="815" s="1"/>
        <i x="1082" s="1"/>
        <i x="749" s="1"/>
        <i x="182" s="1"/>
        <i x="276" s="1"/>
        <i x="174" s="1"/>
        <i x="957" s="1"/>
        <i x="786" s="1"/>
        <i x="615" s="1"/>
        <i x="632" s="1"/>
        <i x="366" s="1"/>
        <i x="1120" s="1"/>
        <i x="770" s="1"/>
        <i x="967" s="1"/>
        <i x="591" s="1"/>
        <i x="596" s="1"/>
        <i x="492" s="1"/>
        <i x="359" s="1"/>
        <i x="1144" s="1"/>
        <i x="872" s="1"/>
        <i x="486" s="1"/>
        <i x="41" s="1"/>
        <i x="547" s="1"/>
        <i x="697" s="1"/>
        <i x="450" s="1"/>
        <i x="989" s="1"/>
        <i x="241" s="1"/>
        <i x="457" s="1"/>
        <i x="536" s="1"/>
        <i x="1183" s="1"/>
        <i x="1026" s="1"/>
        <i x="195" s="1"/>
        <i x="97" s="1"/>
        <i x="403" s="1"/>
        <i x="344" s="1"/>
        <i x="818" s="1"/>
        <i x="670" s="1"/>
        <i x="756" s="1"/>
        <i x="199" s="1"/>
        <i x="773" s="1"/>
        <i x="320" s="1"/>
        <i x="10" s="1"/>
        <i x="4" s="1"/>
        <i x="910" s="1"/>
        <i x="966" s="1"/>
        <i x="392" s="1"/>
        <i x="581" s="1"/>
        <i x="762" s="1"/>
        <i x="558" s="1"/>
        <i x="364" s="1"/>
        <i x="528" s="1"/>
        <i x="70" s="1"/>
        <i x="120" s="1"/>
        <i x="984" s="1"/>
        <i x="549" s="1"/>
        <i x="353" s="1"/>
        <i x="433" s="1"/>
        <i x="388" s="1"/>
        <i x="1072" s="1"/>
        <i x="606" s="1"/>
        <i x="213" s="1"/>
        <i x="1101" s="1"/>
        <i x="520" s="1"/>
        <i x="282" s="1"/>
        <i x="848" s="1"/>
        <i x="296" s="1"/>
        <i x="963" s="1"/>
        <i x="221" s="1"/>
        <i x="455" s="1"/>
        <i x="825" s="1"/>
        <i x="163" s="1"/>
        <i x="658" s="1"/>
        <i x="648" s="1"/>
        <i x="86" s="1"/>
        <i x="953" s="1"/>
        <i x="416" s="1"/>
        <i x="800" s="1"/>
        <i x="982" s="1"/>
        <i x="192" s="1"/>
        <i x="846" s="1"/>
        <i x="650" s="1"/>
        <i x="1078" s="1"/>
        <i x="1121" s="1"/>
        <i x="534" s="1"/>
        <i x="540" s="1"/>
        <i x="1087" s="1"/>
        <i x="973" s="1"/>
        <i x="919" s="1"/>
        <i x="705" s="1"/>
        <i x="1083" s="1"/>
        <i x="885" s="1"/>
        <i x="659" s="1"/>
        <i x="681" s="1"/>
        <i x="821" s="1"/>
        <i x="766" s="1"/>
        <i x="527" s="1"/>
        <i x="713" s="1"/>
        <i x="556" s="1"/>
        <i x="887" s="1"/>
        <i x="281" s="1"/>
        <i x="346" s="1"/>
        <i x="287" s="1"/>
        <i x="835" s="1"/>
        <i x="603" s="1"/>
        <i x="625" s="1"/>
        <i x="523" s="1"/>
        <i x="367" s="1"/>
        <i x="1004" s="1"/>
        <i x="361" s="1"/>
        <i x="1107" s="1"/>
        <i x="1048" s="1"/>
        <i x="744" s="1"/>
        <i x="1189" s="1"/>
        <i x="463" s="1"/>
        <i x="170" s="1"/>
        <i x="269" s="1"/>
        <i x="562" s="1"/>
        <i x="6" s="1"/>
        <i x="173" s="1"/>
        <i x="1025" s="1"/>
        <i x="100" s="1"/>
        <i x="706" s="1"/>
        <i x="692" s="1"/>
        <i x="1059" s="1"/>
        <i x="1129" s="1"/>
        <i x="252" s="1"/>
        <i x="525" s="1"/>
        <i x="975" s="1"/>
        <i x="326" s="1"/>
        <i x="248" s="1"/>
        <i x="107" s="1"/>
        <i x="624" s="1"/>
        <i x="328" s="1"/>
        <i x="201" s="1"/>
        <i x="529" s="1"/>
        <i x="453" s="1"/>
        <i x="805" s="1"/>
        <i x="469" s="1"/>
        <i x="863" s="1"/>
        <i x="1020" s="1"/>
        <i x="889" s="1"/>
        <i x="631" s="1"/>
        <i x="1115" s="1"/>
        <i x="365" s="1"/>
        <i x="767" s="1"/>
        <i x="833" s="1"/>
        <i x="1011" s="1"/>
        <i x="717" s="1"/>
        <i x="141" s="1"/>
        <i x="1112" s="1"/>
        <i x="423" s="1"/>
        <i x="1069" s="1"/>
        <i x="1186" s="1"/>
        <i x="652" s="1"/>
        <i x="1149" s="1"/>
        <i x="787" s="1"/>
        <i x="769" s="1"/>
        <i x="931" s="1"/>
        <i x="223" s="1"/>
        <i x="1080" s="1"/>
        <i x="222" s="1"/>
        <i x="354" s="1"/>
        <i x="1124" s="1"/>
        <i x="1135" s="1"/>
        <i x="1142" s="1"/>
        <i x="1146" s="1"/>
        <i x="1163" s="1"/>
        <i x="389" s="1"/>
        <i x="904" s="1"/>
        <i x="996" s="1"/>
        <i x="740" s="1"/>
        <i x="119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Price" xr10:uid="{C1C70324-71E8-4F5D-B4EB-C4042CC2F377}" cache="Slicer_UnitPrice" caption="UnitPri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04BAE70F-B3C5-4A5B-90EA-6F83A9CA7E6D}" cache="Slicer_OrderID" caption="OrderI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Price 1" xr10:uid="{F07C462F-6E66-423B-987B-7D2D022D5D34}" cache="Slicer_UnitPrice1" caption="UnitPric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InCart" xr10:uid="{283ECFFD-90B9-47E1-9F5D-040A754DF463}" cache="Slicer_ItemsInCart" caption="ItemsInCart" startItem="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Price 2" xr10:uid="{6C04C477-80ED-45F9-90B3-32D70AF05DDA}" cache="Slicer_UnitPrice" caption="UnitPrice" rowHeight="241300"/>
  <slicer name="OrderID 1" xr10:uid="{8B93A18A-1008-4736-B357-D97EAC2B745B}" cache="Slicer_OrderID" caption="OrderID" startItem="6" rowHeight="241300"/>
  <slicer name="ItemsInCart 1" xr10:uid="{C80D8345-3D7F-4FBE-A6FF-CAC8881B76C1}" cache="Slicer_ItemsInCart" caption="ItemsInCart" rowHeight="241300"/>
  <slicer name="UnitPrice 3" xr10:uid="{820565E2-3575-457D-A00F-2FC13C9CEED9}" cache="Slicer_UnitPrice1" caption="UnitPrice" startItem="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774EC-1847-433D-9BD1-DCC81511FD33}" name="Table1" displayName="Table1" ref="A1:J1203" totalsRowShown="0" headerRowDxfId="2" headerRowBorderDxfId="1" tableBorderDxfId="0">
  <autoFilter ref="A1:J1203" xr:uid="{356774EC-1847-433D-9BD1-DCC81511FD33}"/>
  <tableColumns count="10">
    <tableColumn id="1" xr3:uid="{1A889C47-F5CD-4E67-8E5D-E2A8E37DB794}" name="OrderID"/>
    <tableColumn id="2" xr3:uid="{62017115-FB55-4B30-9245-BFCB1556D990}" name="CustomerID"/>
    <tableColumn id="3" xr3:uid="{D64827F6-0D15-4E04-9E5E-0105518E7774}" name="Product"/>
    <tableColumn id="4" xr3:uid="{B645EC87-53D7-42E4-9557-F3A1374B863D}" name="Quantity"/>
    <tableColumn id="5" xr3:uid="{BC936CF8-9ECB-428F-8929-B59BA203262B}" name="UnitPrice"/>
    <tableColumn id="6" xr3:uid="{2B0876EB-949C-4A73-8CC2-74297AC5634E}" name="ShippingAddress"/>
    <tableColumn id="7" xr3:uid="{4F0B0F1E-48B4-4F44-BF40-FA35B891938E}" name="PaymentMethod"/>
    <tableColumn id="8" xr3:uid="{83B50381-CAA3-41A4-98C5-EB19EBBDA294}" name="ItemsInCart"/>
    <tableColumn id="9" xr3:uid="{526DE75F-2139-4C8E-A65A-E157B20FB4C1}" name="ReferralSource"/>
    <tableColumn id="10" xr3:uid="{FB274B0A-0789-4041-9C08-8ECFDF9667FE}"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1"/>
  <sheetViews>
    <sheetView zoomScale="70" zoomScaleNormal="70" workbookViewId="0">
      <selection activeCell="M24" sqref="M24"/>
    </sheetView>
  </sheetViews>
  <sheetFormatPr defaultRowHeight="15" x14ac:dyDescent="0.25"/>
  <cols>
    <col min="1" max="1" width="9.7109375" customWidth="1"/>
    <col min="2" max="2" width="20.7109375" customWidth="1"/>
    <col min="3" max="3" width="14.42578125" customWidth="1"/>
    <col min="4" max="4" width="15.85546875" customWidth="1"/>
    <col min="5" max="5" width="14.42578125" customWidth="1"/>
    <col min="6" max="6" width="20.28515625" customWidth="1"/>
    <col min="7" max="7" width="20.7109375" customWidth="1"/>
    <col min="8" max="8" width="17.42578125" customWidth="1"/>
    <col min="9" max="9" width="18.5703125" customWidth="1"/>
    <col min="10" max="10" width="14.140625" customWidth="1"/>
    <col min="12" max="12" width="26.5703125" customWidth="1"/>
  </cols>
  <sheetData>
    <row r="1" spans="1:12" x14ac:dyDescent="0.25">
      <c r="A1" s="4" t="s">
        <v>0</v>
      </c>
      <c r="B1" s="4" t="s">
        <v>1</v>
      </c>
      <c r="C1" s="4" t="s">
        <v>2</v>
      </c>
      <c r="D1" s="4" t="s">
        <v>3</v>
      </c>
      <c r="E1" s="4" t="s">
        <v>4</v>
      </c>
      <c r="F1" s="4" t="s">
        <v>5</v>
      </c>
      <c r="G1" s="4" t="s">
        <v>6</v>
      </c>
      <c r="H1" s="4" t="s">
        <v>7</v>
      </c>
      <c r="I1" s="4" t="s">
        <v>8</v>
      </c>
      <c r="J1" s="4" t="s">
        <v>9</v>
      </c>
    </row>
    <row r="2" spans="1:12" x14ac:dyDescent="0.25">
      <c r="A2" t="s">
        <v>10</v>
      </c>
      <c r="B2" t="s">
        <v>1210</v>
      </c>
      <c r="C2" t="s">
        <v>2399</v>
      </c>
      <c r="D2">
        <v>5</v>
      </c>
      <c r="E2">
        <v>570.62</v>
      </c>
      <c r="F2" t="s">
        <v>2406</v>
      </c>
      <c r="G2" t="s">
        <v>3061</v>
      </c>
      <c r="H2">
        <v>7</v>
      </c>
      <c r="I2" t="s">
        <v>3066</v>
      </c>
      <c r="J2">
        <v>2853.1</v>
      </c>
    </row>
    <row r="3" spans="1:12" x14ac:dyDescent="0.25">
      <c r="A3" t="s">
        <v>11</v>
      </c>
      <c r="B3" t="s">
        <v>1211</v>
      </c>
      <c r="C3" t="s">
        <v>2400</v>
      </c>
      <c r="D3">
        <v>2</v>
      </c>
      <c r="E3">
        <v>151.35</v>
      </c>
      <c r="F3" t="s">
        <v>2407</v>
      </c>
      <c r="G3" t="s">
        <v>3062</v>
      </c>
      <c r="H3">
        <v>3</v>
      </c>
      <c r="I3" t="s">
        <v>3067</v>
      </c>
      <c r="J3">
        <v>302.7</v>
      </c>
    </row>
    <row r="4" spans="1:12" ht="21" x14ac:dyDescent="0.35">
      <c r="A4" t="s">
        <v>12</v>
      </c>
      <c r="B4" t="s">
        <v>1212</v>
      </c>
      <c r="C4" t="s">
        <v>2401</v>
      </c>
      <c r="D4">
        <v>5</v>
      </c>
      <c r="E4">
        <v>550.67999999999995</v>
      </c>
      <c r="F4" t="s">
        <v>2408</v>
      </c>
      <c r="G4" t="s">
        <v>3063</v>
      </c>
      <c r="H4">
        <v>8</v>
      </c>
      <c r="I4" t="s">
        <v>3068</v>
      </c>
      <c r="J4">
        <v>2753.4</v>
      </c>
      <c r="L4" s="1" t="s">
        <v>3071</v>
      </c>
    </row>
    <row r="5" spans="1:12" x14ac:dyDescent="0.25">
      <c r="A5" t="s">
        <v>13</v>
      </c>
      <c r="B5" t="s">
        <v>1213</v>
      </c>
      <c r="C5" t="s">
        <v>2402</v>
      </c>
      <c r="D5">
        <v>1</v>
      </c>
      <c r="E5">
        <v>273.19</v>
      </c>
      <c r="F5" t="s">
        <v>2409</v>
      </c>
      <c r="G5" t="s">
        <v>3061</v>
      </c>
      <c r="H5">
        <v>5</v>
      </c>
      <c r="I5" t="s">
        <v>3069</v>
      </c>
      <c r="J5">
        <v>273.19</v>
      </c>
      <c r="L5" s="3">
        <f>SUM(J2:J1201)</f>
        <v>1264761.9600000004</v>
      </c>
    </row>
    <row r="6" spans="1:12" x14ac:dyDescent="0.25">
      <c r="A6" t="s">
        <v>14</v>
      </c>
      <c r="B6" t="s">
        <v>1214</v>
      </c>
      <c r="C6" t="s">
        <v>2403</v>
      </c>
      <c r="D6">
        <v>4</v>
      </c>
      <c r="E6">
        <v>626.01</v>
      </c>
      <c r="F6" t="s">
        <v>2410</v>
      </c>
      <c r="G6" t="s">
        <v>3062</v>
      </c>
      <c r="H6">
        <v>8</v>
      </c>
      <c r="I6" t="s">
        <v>3068</v>
      </c>
      <c r="J6">
        <v>2504.04</v>
      </c>
    </row>
    <row r="7" spans="1:12" x14ac:dyDescent="0.25">
      <c r="A7" t="s">
        <v>15</v>
      </c>
      <c r="B7" t="s">
        <v>1215</v>
      </c>
      <c r="C7" t="s">
        <v>2400</v>
      </c>
      <c r="D7">
        <v>2</v>
      </c>
      <c r="E7">
        <v>245.86</v>
      </c>
      <c r="F7" t="s">
        <v>2411</v>
      </c>
      <c r="G7" t="s">
        <v>3063</v>
      </c>
      <c r="H7">
        <v>4</v>
      </c>
      <c r="I7" t="s">
        <v>3066</v>
      </c>
      <c r="J7">
        <v>491.72</v>
      </c>
    </row>
    <row r="8" spans="1:12" x14ac:dyDescent="0.25">
      <c r="A8" t="s">
        <v>16</v>
      </c>
      <c r="B8" t="s">
        <v>1216</v>
      </c>
      <c r="C8" t="s">
        <v>2404</v>
      </c>
      <c r="D8">
        <v>1</v>
      </c>
      <c r="E8">
        <v>664.42</v>
      </c>
      <c r="F8" t="s">
        <v>2412</v>
      </c>
      <c r="G8" t="s">
        <v>3064</v>
      </c>
      <c r="H8">
        <v>6</v>
      </c>
      <c r="I8" t="s">
        <v>3069</v>
      </c>
      <c r="J8">
        <v>664.42</v>
      </c>
    </row>
    <row r="9" spans="1:12" ht="21" x14ac:dyDescent="0.35">
      <c r="A9" t="s">
        <v>17</v>
      </c>
      <c r="B9" t="s">
        <v>1217</v>
      </c>
      <c r="C9" t="s">
        <v>2399</v>
      </c>
      <c r="D9">
        <v>5</v>
      </c>
      <c r="E9">
        <v>149.55000000000001</v>
      </c>
      <c r="F9" t="s">
        <v>2413</v>
      </c>
      <c r="G9" t="s">
        <v>3065</v>
      </c>
      <c r="H9">
        <v>9</v>
      </c>
      <c r="I9" t="s">
        <v>3069</v>
      </c>
      <c r="J9">
        <v>747.75</v>
      </c>
      <c r="L9" s="1" t="s">
        <v>3072</v>
      </c>
    </row>
    <row r="10" spans="1:12" x14ac:dyDescent="0.25">
      <c r="A10" t="s">
        <v>18</v>
      </c>
      <c r="B10" t="s">
        <v>1218</v>
      </c>
      <c r="C10" t="s">
        <v>2400</v>
      </c>
      <c r="D10">
        <v>2</v>
      </c>
      <c r="E10">
        <v>134.28</v>
      </c>
      <c r="F10" t="s">
        <v>2414</v>
      </c>
      <c r="G10" t="s">
        <v>3064</v>
      </c>
      <c r="H10">
        <v>2</v>
      </c>
      <c r="I10" t="s">
        <v>3068</v>
      </c>
      <c r="J10">
        <v>268.56</v>
      </c>
      <c r="L10">
        <f>COUNTA(A2:A1201)</f>
        <v>1200</v>
      </c>
    </row>
    <row r="11" spans="1:12" x14ac:dyDescent="0.25">
      <c r="A11" t="s">
        <v>19</v>
      </c>
      <c r="B11" t="s">
        <v>1219</v>
      </c>
      <c r="C11" t="s">
        <v>2405</v>
      </c>
      <c r="D11">
        <v>4</v>
      </c>
      <c r="E11">
        <v>509.38</v>
      </c>
      <c r="F11" t="s">
        <v>2415</v>
      </c>
      <c r="G11" t="s">
        <v>3063</v>
      </c>
      <c r="H11">
        <v>6</v>
      </c>
      <c r="I11" t="s">
        <v>3070</v>
      </c>
      <c r="J11">
        <v>2037.52</v>
      </c>
    </row>
    <row r="12" spans="1:12" x14ac:dyDescent="0.25">
      <c r="A12" t="s">
        <v>20</v>
      </c>
      <c r="B12" t="s">
        <v>1220</v>
      </c>
      <c r="C12" t="s">
        <v>2401</v>
      </c>
      <c r="D12">
        <v>5</v>
      </c>
      <c r="E12">
        <v>625.97</v>
      </c>
      <c r="F12" t="s">
        <v>2416</v>
      </c>
      <c r="G12" t="s">
        <v>3063</v>
      </c>
      <c r="H12">
        <v>9</v>
      </c>
      <c r="I12" t="s">
        <v>3066</v>
      </c>
      <c r="J12">
        <v>3129.85</v>
      </c>
    </row>
    <row r="13" spans="1:12" ht="16.5" customHeight="1" x14ac:dyDescent="0.3">
      <c r="A13" t="s">
        <v>21</v>
      </c>
      <c r="B13" t="s">
        <v>1221</v>
      </c>
      <c r="C13" t="s">
        <v>2399</v>
      </c>
      <c r="D13">
        <v>3</v>
      </c>
      <c r="E13">
        <v>49.14</v>
      </c>
      <c r="F13" t="s">
        <v>2417</v>
      </c>
      <c r="G13" t="s">
        <v>3062</v>
      </c>
      <c r="H13">
        <v>7</v>
      </c>
      <c r="I13" t="s">
        <v>3068</v>
      </c>
      <c r="J13">
        <v>147.41999999999999</v>
      </c>
      <c r="L13" s="2" t="s">
        <v>3073</v>
      </c>
    </row>
    <row r="14" spans="1:12" x14ac:dyDescent="0.25">
      <c r="A14" t="s">
        <v>22</v>
      </c>
      <c r="B14" t="s">
        <v>1222</v>
      </c>
      <c r="C14" t="s">
        <v>2399</v>
      </c>
      <c r="D14">
        <v>2</v>
      </c>
      <c r="E14">
        <v>180.5</v>
      </c>
      <c r="F14" t="s">
        <v>2418</v>
      </c>
      <c r="G14" t="s">
        <v>3061</v>
      </c>
      <c r="H14">
        <v>6</v>
      </c>
      <c r="I14" t="s">
        <v>3067</v>
      </c>
      <c r="J14">
        <v>361</v>
      </c>
      <c r="L14" s="3">
        <f>AVERAGE(E2:E1201)</f>
        <v>356.41275000000007</v>
      </c>
    </row>
    <row r="15" spans="1:12" x14ac:dyDescent="0.25">
      <c r="A15" t="s">
        <v>23</v>
      </c>
      <c r="B15" t="s">
        <v>1223</v>
      </c>
      <c r="C15" t="s">
        <v>2404</v>
      </c>
      <c r="D15">
        <v>3</v>
      </c>
      <c r="E15">
        <v>201.49</v>
      </c>
      <c r="F15" t="s">
        <v>2419</v>
      </c>
      <c r="G15" t="s">
        <v>3063</v>
      </c>
      <c r="H15">
        <v>4</v>
      </c>
      <c r="I15" t="s">
        <v>3069</v>
      </c>
      <c r="J15">
        <v>604.47</v>
      </c>
    </row>
    <row r="16" spans="1:12" x14ac:dyDescent="0.25">
      <c r="A16" t="s">
        <v>24</v>
      </c>
      <c r="B16" t="s">
        <v>1224</v>
      </c>
      <c r="C16" t="s">
        <v>2401</v>
      </c>
      <c r="D16">
        <v>2</v>
      </c>
      <c r="E16">
        <v>393.33</v>
      </c>
      <c r="F16" t="s">
        <v>2420</v>
      </c>
      <c r="G16" t="s">
        <v>3061</v>
      </c>
      <c r="H16">
        <v>3</v>
      </c>
      <c r="I16" t="s">
        <v>3066</v>
      </c>
      <c r="J16">
        <v>786.66</v>
      </c>
    </row>
    <row r="17" spans="1:10" x14ac:dyDescent="0.25">
      <c r="A17" t="s">
        <v>25</v>
      </c>
      <c r="B17" t="s">
        <v>1225</v>
      </c>
      <c r="C17" t="s">
        <v>2403</v>
      </c>
      <c r="D17">
        <v>1</v>
      </c>
      <c r="E17">
        <v>473.96</v>
      </c>
      <c r="F17" t="s">
        <v>2421</v>
      </c>
      <c r="G17" t="s">
        <v>3065</v>
      </c>
      <c r="H17">
        <v>3</v>
      </c>
      <c r="I17" t="s">
        <v>3070</v>
      </c>
      <c r="J17">
        <v>473.96</v>
      </c>
    </row>
    <row r="18" spans="1:10" x14ac:dyDescent="0.25">
      <c r="A18" t="s">
        <v>26</v>
      </c>
      <c r="B18" t="s">
        <v>1226</v>
      </c>
      <c r="C18" t="s">
        <v>2403</v>
      </c>
      <c r="D18">
        <v>2</v>
      </c>
      <c r="E18">
        <v>533.80999999999995</v>
      </c>
      <c r="F18" t="s">
        <v>2422</v>
      </c>
      <c r="G18" t="s">
        <v>3063</v>
      </c>
      <c r="H18">
        <v>3</v>
      </c>
      <c r="I18" t="s">
        <v>3068</v>
      </c>
      <c r="J18">
        <v>1067.6199999999999</v>
      </c>
    </row>
    <row r="19" spans="1:10" x14ac:dyDescent="0.25">
      <c r="A19" t="s">
        <v>27</v>
      </c>
      <c r="B19" t="s">
        <v>1227</v>
      </c>
      <c r="C19" t="s">
        <v>2401</v>
      </c>
      <c r="D19">
        <v>1</v>
      </c>
      <c r="E19">
        <v>423.4</v>
      </c>
      <c r="F19" t="s">
        <v>2423</v>
      </c>
      <c r="G19" t="s">
        <v>3061</v>
      </c>
      <c r="H19">
        <v>3</v>
      </c>
      <c r="I19" t="s">
        <v>3067</v>
      </c>
      <c r="J19">
        <v>423.4</v>
      </c>
    </row>
    <row r="20" spans="1:10" x14ac:dyDescent="0.25">
      <c r="A20" t="s">
        <v>28</v>
      </c>
      <c r="B20" t="s">
        <v>1228</v>
      </c>
      <c r="C20" t="s">
        <v>2405</v>
      </c>
      <c r="D20">
        <v>1</v>
      </c>
      <c r="E20">
        <v>431.44</v>
      </c>
      <c r="F20" t="s">
        <v>2424</v>
      </c>
      <c r="G20" t="s">
        <v>3064</v>
      </c>
      <c r="H20">
        <v>3</v>
      </c>
      <c r="I20" t="s">
        <v>3069</v>
      </c>
      <c r="J20">
        <v>431.44</v>
      </c>
    </row>
    <row r="21" spans="1:10" x14ac:dyDescent="0.25">
      <c r="A21" t="s">
        <v>29</v>
      </c>
      <c r="B21" t="s">
        <v>1229</v>
      </c>
      <c r="C21" t="s">
        <v>2399</v>
      </c>
      <c r="D21">
        <v>5</v>
      </c>
      <c r="E21">
        <v>224</v>
      </c>
      <c r="F21" t="s">
        <v>2425</v>
      </c>
      <c r="G21" t="s">
        <v>3065</v>
      </c>
      <c r="H21">
        <v>9</v>
      </c>
      <c r="I21" t="s">
        <v>3070</v>
      </c>
      <c r="J21">
        <v>1120</v>
      </c>
    </row>
    <row r="22" spans="1:10" x14ac:dyDescent="0.25">
      <c r="A22" t="s">
        <v>30</v>
      </c>
      <c r="B22" t="s">
        <v>1230</v>
      </c>
      <c r="C22" t="s">
        <v>2402</v>
      </c>
      <c r="D22">
        <v>5</v>
      </c>
      <c r="E22">
        <v>62.51</v>
      </c>
      <c r="F22" t="s">
        <v>2426</v>
      </c>
      <c r="G22" t="s">
        <v>3065</v>
      </c>
      <c r="H22">
        <v>9</v>
      </c>
      <c r="I22" t="s">
        <v>3066</v>
      </c>
      <c r="J22">
        <v>312.55</v>
      </c>
    </row>
    <row r="23" spans="1:10" x14ac:dyDescent="0.25">
      <c r="A23" t="s">
        <v>31</v>
      </c>
      <c r="B23" t="s">
        <v>1231</v>
      </c>
      <c r="C23" t="s">
        <v>2399</v>
      </c>
      <c r="D23">
        <v>4</v>
      </c>
      <c r="E23">
        <v>342.95</v>
      </c>
      <c r="F23" t="s">
        <v>2427</v>
      </c>
      <c r="G23" t="s">
        <v>3065</v>
      </c>
      <c r="H23">
        <v>6</v>
      </c>
      <c r="I23" t="s">
        <v>3070</v>
      </c>
      <c r="J23">
        <v>1371.8</v>
      </c>
    </row>
    <row r="24" spans="1:10" x14ac:dyDescent="0.25">
      <c r="A24" t="s">
        <v>32</v>
      </c>
      <c r="B24" t="s">
        <v>1232</v>
      </c>
      <c r="C24" t="s">
        <v>2399</v>
      </c>
      <c r="D24">
        <v>2</v>
      </c>
      <c r="E24">
        <v>49.62</v>
      </c>
      <c r="F24" t="s">
        <v>2428</v>
      </c>
      <c r="G24" t="s">
        <v>3062</v>
      </c>
      <c r="H24">
        <v>2</v>
      </c>
      <c r="I24" t="s">
        <v>3070</v>
      </c>
      <c r="J24">
        <v>99.24</v>
      </c>
    </row>
    <row r="25" spans="1:10" x14ac:dyDescent="0.25">
      <c r="A25" t="s">
        <v>33</v>
      </c>
      <c r="B25" t="s">
        <v>1233</v>
      </c>
      <c r="C25" t="s">
        <v>2400</v>
      </c>
      <c r="D25">
        <v>4</v>
      </c>
      <c r="E25">
        <v>273.25</v>
      </c>
      <c r="F25" t="s">
        <v>2429</v>
      </c>
      <c r="G25" t="s">
        <v>3061</v>
      </c>
      <c r="H25">
        <v>5</v>
      </c>
      <c r="I25" t="s">
        <v>3067</v>
      </c>
      <c r="J25">
        <v>1093</v>
      </c>
    </row>
    <row r="26" spans="1:10" x14ac:dyDescent="0.25">
      <c r="A26" t="s">
        <v>34</v>
      </c>
      <c r="B26" t="s">
        <v>1234</v>
      </c>
      <c r="C26" t="s">
        <v>2404</v>
      </c>
      <c r="D26">
        <v>2</v>
      </c>
      <c r="E26">
        <v>230.95</v>
      </c>
      <c r="F26" t="s">
        <v>2430</v>
      </c>
      <c r="G26" t="s">
        <v>3062</v>
      </c>
      <c r="H26">
        <v>3</v>
      </c>
      <c r="I26" t="s">
        <v>3067</v>
      </c>
      <c r="J26">
        <v>461.9</v>
      </c>
    </row>
    <row r="27" spans="1:10" x14ac:dyDescent="0.25">
      <c r="A27" t="s">
        <v>35</v>
      </c>
      <c r="B27" t="s">
        <v>1235</v>
      </c>
      <c r="C27" t="s">
        <v>2399</v>
      </c>
      <c r="D27">
        <v>1</v>
      </c>
      <c r="E27">
        <v>399.98</v>
      </c>
      <c r="F27" t="s">
        <v>2431</v>
      </c>
      <c r="G27" t="s">
        <v>3061</v>
      </c>
      <c r="H27">
        <v>3</v>
      </c>
      <c r="I27" t="s">
        <v>3068</v>
      </c>
      <c r="J27">
        <v>399.98</v>
      </c>
    </row>
    <row r="28" spans="1:10" x14ac:dyDescent="0.25">
      <c r="A28" t="s">
        <v>36</v>
      </c>
      <c r="B28" t="s">
        <v>1236</v>
      </c>
      <c r="C28" t="s">
        <v>2404</v>
      </c>
      <c r="D28">
        <v>5</v>
      </c>
      <c r="E28">
        <v>59.55</v>
      </c>
      <c r="F28" t="s">
        <v>2432</v>
      </c>
      <c r="G28" t="s">
        <v>3062</v>
      </c>
      <c r="H28">
        <v>6</v>
      </c>
      <c r="I28" t="s">
        <v>3067</v>
      </c>
      <c r="J28">
        <v>297.75</v>
      </c>
    </row>
    <row r="29" spans="1:10" x14ac:dyDescent="0.25">
      <c r="A29" t="s">
        <v>37</v>
      </c>
      <c r="B29" t="s">
        <v>1237</v>
      </c>
      <c r="C29" t="s">
        <v>2403</v>
      </c>
      <c r="D29">
        <v>1</v>
      </c>
      <c r="E29">
        <v>472.74</v>
      </c>
      <c r="F29" t="s">
        <v>2433</v>
      </c>
      <c r="G29" t="s">
        <v>3062</v>
      </c>
      <c r="H29">
        <v>6</v>
      </c>
      <c r="I29" t="s">
        <v>3070</v>
      </c>
      <c r="J29">
        <v>472.74</v>
      </c>
    </row>
    <row r="30" spans="1:10" x14ac:dyDescent="0.25">
      <c r="A30" t="s">
        <v>38</v>
      </c>
      <c r="B30" t="s">
        <v>1238</v>
      </c>
      <c r="C30" t="s">
        <v>2400</v>
      </c>
      <c r="D30">
        <v>4</v>
      </c>
      <c r="E30">
        <v>160.07</v>
      </c>
      <c r="F30" t="s">
        <v>2434</v>
      </c>
      <c r="G30" t="s">
        <v>3062</v>
      </c>
      <c r="H30">
        <v>5</v>
      </c>
      <c r="I30" t="s">
        <v>3068</v>
      </c>
      <c r="J30">
        <v>640.28</v>
      </c>
    </row>
    <row r="31" spans="1:10" x14ac:dyDescent="0.25">
      <c r="A31" t="s">
        <v>39</v>
      </c>
      <c r="B31" t="s">
        <v>1239</v>
      </c>
      <c r="C31" t="s">
        <v>2405</v>
      </c>
      <c r="D31">
        <v>3</v>
      </c>
      <c r="E31">
        <v>423.53</v>
      </c>
      <c r="F31" t="s">
        <v>2435</v>
      </c>
      <c r="G31" t="s">
        <v>3063</v>
      </c>
      <c r="H31">
        <v>6</v>
      </c>
      <c r="I31" t="s">
        <v>3067</v>
      </c>
      <c r="J31">
        <v>1270.5899999999999</v>
      </c>
    </row>
    <row r="32" spans="1:10" x14ac:dyDescent="0.25">
      <c r="A32" t="s">
        <v>40</v>
      </c>
      <c r="B32" t="s">
        <v>1240</v>
      </c>
      <c r="C32" t="s">
        <v>2399</v>
      </c>
      <c r="D32">
        <v>2</v>
      </c>
      <c r="E32">
        <v>426.7</v>
      </c>
      <c r="F32" t="s">
        <v>2436</v>
      </c>
      <c r="G32" t="s">
        <v>3062</v>
      </c>
      <c r="H32">
        <v>5</v>
      </c>
      <c r="I32" t="s">
        <v>3067</v>
      </c>
      <c r="J32">
        <v>853.4</v>
      </c>
    </row>
    <row r="33" spans="1:10" x14ac:dyDescent="0.25">
      <c r="A33" t="s">
        <v>41</v>
      </c>
      <c r="B33" t="s">
        <v>1241</v>
      </c>
      <c r="C33" t="s">
        <v>2402</v>
      </c>
      <c r="D33">
        <v>3</v>
      </c>
      <c r="E33">
        <v>500.08</v>
      </c>
      <c r="F33" t="s">
        <v>2437</v>
      </c>
      <c r="G33" t="s">
        <v>3061</v>
      </c>
      <c r="H33">
        <v>6</v>
      </c>
      <c r="I33" t="s">
        <v>3069</v>
      </c>
      <c r="J33">
        <v>1500.24</v>
      </c>
    </row>
    <row r="34" spans="1:10" x14ac:dyDescent="0.25">
      <c r="A34" t="s">
        <v>42</v>
      </c>
      <c r="B34" t="s">
        <v>1242</v>
      </c>
      <c r="C34" t="s">
        <v>2401</v>
      </c>
      <c r="D34">
        <v>5</v>
      </c>
      <c r="E34">
        <v>536.72</v>
      </c>
      <c r="F34" t="s">
        <v>2438</v>
      </c>
      <c r="G34" t="s">
        <v>3065</v>
      </c>
      <c r="H34">
        <v>10</v>
      </c>
      <c r="I34" t="s">
        <v>3068</v>
      </c>
      <c r="J34">
        <v>2683.6</v>
      </c>
    </row>
    <row r="35" spans="1:10" x14ac:dyDescent="0.25">
      <c r="A35" t="s">
        <v>43</v>
      </c>
      <c r="B35" t="s">
        <v>1243</v>
      </c>
      <c r="C35" t="s">
        <v>2402</v>
      </c>
      <c r="D35">
        <v>1</v>
      </c>
      <c r="E35">
        <v>162.77000000000001</v>
      </c>
      <c r="F35" t="s">
        <v>2439</v>
      </c>
      <c r="G35" t="s">
        <v>3062</v>
      </c>
      <c r="H35">
        <v>4</v>
      </c>
      <c r="I35" t="s">
        <v>3069</v>
      </c>
      <c r="J35">
        <v>162.77000000000001</v>
      </c>
    </row>
    <row r="36" spans="1:10" x14ac:dyDescent="0.25">
      <c r="A36" t="s">
        <v>44</v>
      </c>
      <c r="B36" t="s">
        <v>1244</v>
      </c>
      <c r="C36" t="s">
        <v>2402</v>
      </c>
      <c r="D36">
        <v>4</v>
      </c>
      <c r="E36">
        <v>576.52</v>
      </c>
      <c r="F36" t="s">
        <v>2440</v>
      </c>
      <c r="G36" t="s">
        <v>3063</v>
      </c>
      <c r="H36">
        <v>5</v>
      </c>
      <c r="I36" t="s">
        <v>3069</v>
      </c>
      <c r="J36">
        <v>2306.08</v>
      </c>
    </row>
    <row r="37" spans="1:10" x14ac:dyDescent="0.25">
      <c r="A37" t="s">
        <v>45</v>
      </c>
      <c r="B37" t="s">
        <v>1245</v>
      </c>
      <c r="C37" t="s">
        <v>2399</v>
      </c>
      <c r="D37">
        <v>2</v>
      </c>
      <c r="E37">
        <v>465.15</v>
      </c>
      <c r="F37" t="s">
        <v>2441</v>
      </c>
      <c r="G37" t="s">
        <v>3062</v>
      </c>
      <c r="H37">
        <v>2</v>
      </c>
      <c r="I37" t="s">
        <v>3069</v>
      </c>
      <c r="J37">
        <v>930.3</v>
      </c>
    </row>
    <row r="38" spans="1:10" x14ac:dyDescent="0.25">
      <c r="A38" t="s">
        <v>46</v>
      </c>
      <c r="B38" t="s">
        <v>1246</v>
      </c>
      <c r="C38" t="s">
        <v>2404</v>
      </c>
      <c r="D38">
        <v>2</v>
      </c>
      <c r="E38">
        <v>534.42999999999995</v>
      </c>
      <c r="F38" t="s">
        <v>2442</v>
      </c>
      <c r="G38" t="s">
        <v>3061</v>
      </c>
      <c r="H38">
        <v>5</v>
      </c>
      <c r="I38" t="s">
        <v>3069</v>
      </c>
      <c r="J38">
        <v>1068.8599999999999</v>
      </c>
    </row>
    <row r="39" spans="1:10" x14ac:dyDescent="0.25">
      <c r="A39" t="s">
        <v>47</v>
      </c>
      <c r="B39" t="s">
        <v>1247</v>
      </c>
      <c r="C39" t="s">
        <v>2404</v>
      </c>
      <c r="D39">
        <v>2</v>
      </c>
      <c r="E39">
        <v>76.739999999999995</v>
      </c>
      <c r="F39" t="s">
        <v>2443</v>
      </c>
      <c r="G39" t="s">
        <v>3065</v>
      </c>
      <c r="H39">
        <v>7</v>
      </c>
      <c r="I39" t="s">
        <v>3066</v>
      </c>
      <c r="J39">
        <v>153.47999999999999</v>
      </c>
    </row>
    <row r="40" spans="1:10" x14ac:dyDescent="0.25">
      <c r="A40" t="s">
        <v>48</v>
      </c>
      <c r="B40" t="s">
        <v>1248</v>
      </c>
      <c r="C40" t="s">
        <v>2404</v>
      </c>
      <c r="D40">
        <v>1</v>
      </c>
      <c r="E40">
        <v>245.89</v>
      </c>
      <c r="F40" t="s">
        <v>2444</v>
      </c>
      <c r="G40" t="s">
        <v>3061</v>
      </c>
      <c r="H40">
        <v>3</v>
      </c>
      <c r="I40" t="s">
        <v>3070</v>
      </c>
      <c r="J40">
        <v>245.89</v>
      </c>
    </row>
    <row r="41" spans="1:10" x14ac:dyDescent="0.25">
      <c r="A41" t="s">
        <v>49</v>
      </c>
      <c r="B41" t="s">
        <v>1249</v>
      </c>
      <c r="C41" t="s">
        <v>2403</v>
      </c>
      <c r="D41">
        <v>3</v>
      </c>
      <c r="E41">
        <v>256.45999999999998</v>
      </c>
      <c r="F41" t="s">
        <v>2445</v>
      </c>
      <c r="G41" t="s">
        <v>3063</v>
      </c>
      <c r="H41">
        <v>4</v>
      </c>
      <c r="I41" t="s">
        <v>3067</v>
      </c>
      <c r="J41">
        <v>769.37999999999988</v>
      </c>
    </row>
    <row r="42" spans="1:10" x14ac:dyDescent="0.25">
      <c r="A42" t="s">
        <v>50</v>
      </c>
      <c r="B42" t="s">
        <v>1250</v>
      </c>
      <c r="C42" t="s">
        <v>2405</v>
      </c>
      <c r="D42">
        <v>2</v>
      </c>
      <c r="E42">
        <v>344.02</v>
      </c>
      <c r="F42" t="s">
        <v>2446</v>
      </c>
      <c r="G42" t="s">
        <v>3062</v>
      </c>
      <c r="H42">
        <v>4</v>
      </c>
      <c r="I42" t="s">
        <v>3066</v>
      </c>
      <c r="J42">
        <v>688.04</v>
      </c>
    </row>
    <row r="43" spans="1:10" x14ac:dyDescent="0.25">
      <c r="A43" t="s">
        <v>51</v>
      </c>
      <c r="B43" t="s">
        <v>1251</v>
      </c>
      <c r="C43" t="s">
        <v>2399</v>
      </c>
      <c r="D43">
        <v>3</v>
      </c>
      <c r="E43">
        <v>611.45000000000005</v>
      </c>
      <c r="F43" t="s">
        <v>2447</v>
      </c>
      <c r="G43" t="s">
        <v>3064</v>
      </c>
      <c r="H43">
        <v>4</v>
      </c>
      <c r="I43" t="s">
        <v>3066</v>
      </c>
      <c r="J43">
        <v>1834.35</v>
      </c>
    </row>
    <row r="44" spans="1:10" x14ac:dyDescent="0.25">
      <c r="A44" t="s">
        <v>52</v>
      </c>
      <c r="B44" t="s">
        <v>1252</v>
      </c>
      <c r="C44" t="s">
        <v>2403</v>
      </c>
      <c r="D44">
        <v>2</v>
      </c>
      <c r="E44">
        <v>151.66</v>
      </c>
      <c r="F44" t="s">
        <v>2420</v>
      </c>
      <c r="G44" t="s">
        <v>3065</v>
      </c>
      <c r="H44">
        <v>6</v>
      </c>
      <c r="I44" t="s">
        <v>3066</v>
      </c>
      <c r="J44">
        <v>303.32</v>
      </c>
    </row>
    <row r="45" spans="1:10" x14ac:dyDescent="0.25">
      <c r="A45" t="s">
        <v>53</v>
      </c>
      <c r="B45" t="s">
        <v>1253</v>
      </c>
      <c r="C45" t="s">
        <v>2402</v>
      </c>
      <c r="D45">
        <v>3</v>
      </c>
      <c r="E45">
        <v>499.21</v>
      </c>
      <c r="F45" t="s">
        <v>2448</v>
      </c>
      <c r="G45" t="s">
        <v>3062</v>
      </c>
      <c r="H45">
        <v>8</v>
      </c>
      <c r="I45" t="s">
        <v>3066</v>
      </c>
      <c r="J45">
        <v>1497.63</v>
      </c>
    </row>
    <row r="46" spans="1:10" x14ac:dyDescent="0.25">
      <c r="A46" t="s">
        <v>54</v>
      </c>
      <c r="B46" t="s">
        <v>1254</v>
      </c>
      <c r="C46" t="s">
        <v>2400</v>
      </c>
      <c r="D46">
        <v>2</v>
      </c>
      <c r="E46">
        <v>550.17999999999995</v>
      </c>
      <c r="F46" t="s">
        <v>2437</v>
      </c>
      <c r="G46" t="s">
        <v>3064</v>
      </c>
      <c r="H46">
        <v>3</v>
      </c>
      <c r="I46" t="s">
        <v>3067</v>
      </c>
      <c r="J46">
        <v>1100.3599999999999</v>
      </c>
    </row>
    <row r="47" spans="1:10" x14ac:dyDescent="0.25">
      <c r="A47" t="s">
        <v>55</v>
      </c>
      <c r="B47" t="s">
        <v>1255</v>
      </c>
      <c r="C47" t="s">
        <v>2402</v>
      </c>
      <c r="D47">
        <v>1</v>
      </c>
      <c r="E47">
        <v>317.25</v>
      </c>
      <c r="F47" t="s">
        <v>2449</v>
      </c>
      <c r="G47" t="s">
        <v>3061</v>
      </c>
      <c r="H47">
        <v>1</v>
      </c>
      <c r="I47" t="s">
        <v>3069</v>
      </c>
      <c r="J47">
        <v>317.25</v>
      </c>
    </row>
    <row r="48" spans="1:10" x14ac:dyDescent="0.25">
      <c r="A48" t="s">
        <v>56</v>
      </c>
      <c r="B48" t="s">
        <v>1256</v>
      </c>
      <c r="C48" t="s">
        <v>2399</v>
      </c>
      <c r="D48">
        <v>4</v>
      </c>
      <c r="E48">
        <v>550.14</v>
      </c>
      <c r="F48" t="s">
        <v>2450</v>
      </c>
      <c r="G48" t="s">
        <v>3061</v>
      </c>
      <c r="H48">
        <v>4</v>
      </c>
      <c r="I48" t="s">
        <v>3066</v>
      </c>
      <c r="J48">
        <v>2200.56</v>
      </c>
    </row>
    <row r="49" spans="1:10" x14ac:dyDescent="0.25">
      <c r="A49" t="s">
        <v>57</v>
      </c>
      <c r="B49" t="s">
        <v>1257</v>
      </c>
      <c r="C49" t="s">
        <v>2405</v>
      </c>
      <c r="D49">
        <v>2</v>
      </c>
      <c r="E49">
        <v>209.94</v>
      </c>
      <c r="F49" t="s">
        <v>2451</v>
      </c>
      <c r="G49" t="s">
        <v>3063</v>
      </c>
      <c r="H49">
        <v>3</v>
      </c>
      <c r="I49" t="s">
        <v>3068</v>
      </c>
      <c r="J49">
        <v>419.88</v>
      </c>
    </row>
    <row r="50" spans="1:10" x14ac:dyDescent="0.25">
      <c r="A50" t="s">
        <v>58</v>
      </c>
      <c r="B50" t="s">
        <v>1258</v>
      </c>
      <c r="C50" t="s">
        <v>2399</v>
      </c>
      <c r="D50">
        <v>2</v>
      </c>
      <c r="E50">
        <v>80.77</v>
      </c>
      <c r="F50" t="s">
        <v>2452</v>
      </c>
      <c r="G50" t="s">
        <v>3061</v>
      </c>
      <c r="H50">
        <v>4</v>
      </c>
      <c r="I50" t="s">
        <v>3070</v>
      </c>
      <c r="J50">
        <v>161.54</v>
      </c>
    </row>
    <row r="51" spans="1:10" x14ac:dyDescent="0.25">
      <c r="A51" t="s">
        <v>59</v>
      </c>
      <c r="B51" t="s">
        <v>1259</v>
      </c>
      <c r="C51" t="s">
        <v>2403</v>
      </c>
      <c r="D51">
        <v>1</v>
      </c>
      <c r="E51">
        <v>30.44</v>
      </c>
      <c r="F51" t="s">
        <v>2428</v>
      </c>
      <c r="G51" t="s">
        <v>3063</v>
      </c>
      <c r="H51">
        <v>1</v>
      </c>
      <c r="I51" t="s">
        <v>3068</v>
      </c>
      <c r="J51">
        <v>30.44</v>
      </c>
    </row>
    <row r="52" spans="1:10" x14ac:dyDescent="0.25">
      <c r="A52" t="s">
        <v>60</v>
      </c>
      <c r="B52" t="s">
        <v>1260</v>
      </c>
      <c r="C52" t="s">
        <v>2401</v>
      </c>
      <c r="D52">
        <v>1</v>
      </c>
      <c r="E52">
        <v>179.22</v>
      </c>
      <c r="F52" t="s">
        <v>2453</v>
      </c>
      <c r="G52" t="s">
        <v>3062</v>
      </c>
      <c r="H52">
        <v>6</v>
      </c>
      <c r="I52" t="s">
        <v>3066</v>
      </c>
      <c r="J52">
        <v>179.22</v>
      </c>
    </row>
    <row r="53" spans="1:10" x14ac:dyDescent="0.25">
      <c r="A53" t="s">
        <v>61</v>
      </c>
      <c r="B53" t="s">
        <v>1261</v>
      </c>
      <c r="C53" t="s">
        <v>2401</v>
      </c>
      <c r="D53">
        <v>1</v>
      </c>
      <c r="E53">
        <v>388.33</v>
      </c>
      <c r="F53" t="s">
        <v>2454</v>
      </c>
      <c r="G53" t="s">
        <v>3065</v>
      </c>
      <c r="H53">
        <v>2</v>
      </c>
      <c r="I53" t="s">
        <v>3069</v>
      </c>
      <c r="J53">
        <v>388.33</v>
      </c>
    </row>
    <row r="54" spans="1:10" x14ac:dyDescent="0.25">
      <c r="A54" t="s">
        <v>62</v>
      </c>
      <c r="B54" t="s">
        <v>1262</v>
      </c>
      <c r="C54" t="s">
        <v>2401</v>
      </c>
      <c r="D54">
        <v>1</v>
      </c>
      <c r="E54">
        <v>586.44000000000005</v>
      </c>
      <c r="F54" t="s">
        <v>2455</v>
      </c>
      <c r="G54" t="s">
        <v>3062</v>
      </c>
      <c r="H54">
        <v>5</v>
      </c>
      <c r="I54" t="s">
        <v>3069</v>
      </c>
      <c r="J54">
        <v>586.44000000000005</v>
      </c>
    </row>
    <row r="55" spans="1:10" x14ac:dyDescent="0.25">
      <c r="A55" t="s">
        <v>63</v>
      </c>
      <c r="B55" t="s">
        <v>1263</v>
      </c>
      <c r="C55" t="s">
        <v>2400</v>
      </c>
      <c r="D55">
        <v>4</v>
      </c>
      <c r="E55">
        <v>488.78</v>
      </c>
      <c r="F55" t="s">
        <v>2408</v>
      </c>
      <c r="G55" t="s">
        <v>3062</v>
      </c>
      <c r="H55">
        <v>5</v>
      </c>
      <c r="I55" t="s">
        <v>3070</v>
      </c>
      <c r="J55">
        <v>1955.12</v>
      </c>
    </row>
    <row r="56" spans="1:10" x14ac:dyDescent="0.25">
      <c r="A56" t="s">
        <v>64</v>
      </c>
      <c r="B56" t="s">
        <v>1264</v>
      </c>
      <c r="C56" t="s">
        <v>2402</v>
      </c>
      <c r="D56">
        <v>1</v>
      </c>
      <c r="E56">
        <v>280.25</v>
      </c>
      <c r="F56" t="s">
        <v>2456</v>
      </c>
      <c r="G56" t="s">
        <v>3062</v>
      </c>
      <c r="H56">
        <v>5</v>
      </c>
      <c r="I56" t="s">
        <v>3068</v>
      </c>
      <c r="J56">
        <v>280.25</v>
      </c>
    </row>
    <row r="57" spans="1:10" x14ac:dyDescent="0.25">
      <c r="A57" t="s">
        <v>65</v>
      </c>
      <c r="B57" t="s">
        <v>1265</v>
      </c>
      <c r="C57" t="s">
        <v>2403</v>
      </c>
      <c r="D57">
        <v>3</v>
      </c>
      <c r="E57">
        <v>344.4</v>
      </c>
      <c r="F57" t="s">
        <v>2457</v>
      </c>
      <c r="G57" t="s">
        <v>3062</v>
      </c>
      <c r="H57">
        <v>3</v>
      </c>
      <c r="I57" t="s">
        <v>3069</v>
      </c>
      <c r="J57">
        <v>1033.2</v>
      </c>
    </row>
    <row r="58" spans="1:10" x14ac:dyDescent="0.25">
      <c r="A58" t="s">
        <v>66</v>
      </c>
      <c r="B58" t="s">
        <v>1266</v>
      </c>
      <c r="C58" t="s">
        <v>2401</v>
      </c>
      <c r="D58">
        <v>3</v>
      </c>
      <c r="E58">
        <v>479.21</v>
      </c>
      <c r="F58" t="s">
        <v>2458</v>
      </c>
      <c r="G58" t="s">
        <v>3065</v>
      </c>
      <c r="H58">
        <v>5</v>
      </c>
      <c r="I58" t="s">
        <v>3067</v>
      </c>
      <c r="J58">
        <v>1437.63</v>
      </c>
    </row>
    <row r="59" spans="1:10" x14ac:dyDescent="0.25">
      <c r="A59" t="s">
        <v>67</v>
      </c>
      <c r="B59" t="s">
        <v>1267</v>
      </c>
      <c r="C59" t="s">
        <v>2403</v>
      </c>
      <c r="D59">
        <v>5</v>
      </c>
      <c r="E59">
        <v>314.27</v>
      </c>
      <c r="F59" t="s">
        <v>2459</v>
      </c>
      <c r="G59" t="s">
        <v>3065</v>
      </c>
      <c r="H59">
        <v>6</v>
      </c>
      <c r="I59" t="s">
        <v>3066</v>
      </c>
      <c r="J59">
        <v>1571.35</v>
      </c>
    </row>
    <row r="60" spans="1:10" x14ac:dyDescent="0.25">
      <c r="A60" t="s">
        <v>68</v>
      </c>
      <c r="B60" t="s">
        <v>1268</v>
      </c>
      <c r="C60" t="s">
        <v>2400</v>
      </c>
      <c r="D60">
        <v>4</v>
      </c>
      <c r="E60">
        <v>474.69</v>
      </c>
      <c r="F60" t="s">
        <v>2460</v>
      </c>
      <c r="G60" t="s">
        <v>3064</v>
      </c>
      <c r="H60">
        <v>6</v>
      </c>
      <c r="I60" t="s">
        <v>3070</v>
      </c>
      <c r="J60">
        <v>1898.76</v>
      </c>
    </row>
    <row r="61" spans="1:10" x14ac:dyDescent="0.25">
      <c r="A61" t="s">
        <v>69</v>
      </c>
      <c r="B61" t="s">
        <v>1269</v>
      </c>
      <c r="C61" t="s">
        <v>2402</v>
      </c>
      <c r="D61">
        <v>4</v>
      </c>
      <c r="E61">
        <v>593.27</v>
      </c>
      <c r="F61" t="s">
        <v>2461</v>
      </c>
      <c r="G61" t="s">
        <v>3062</v>
      </c>
      <c r="H61">
        <v>5</v>
      </c>
      <c r="I61" t="s">
        <v>3069</v>
      </c>
      <c r="J61">
        <v>2373.08</v>
      </c>
    </row>
    <row r="62" spans="1:10" x14ac:dyDescent="0.25">
      <c r="A62" t="s">
        <v>70</v>
      </c>
      <c r="B62" t="s">
        <v>1270</v>
      </c>
      <c r="C62" t="s">
        <v>2405</v>
      </c>
      <c r="D62">
        <v>1</v>
      </c>
      <c r="E62">
        <v>417.1</v>
      </c>
      <c r="F62" t="s">
        <v>2462</v>
      </c>
      <c r="G62" t="s">
        <v>3061</v>
      </c>
      <c r="H62">
        <v>3</v>
      </c>
      <c r="I62" t="s">
        <v>3067</v>
      </c>
      <c r="J62">
        <v>417.1</v>
      </c>
    </row>
    <row r="63" spans="1:10" x14ac:dyDescent="0.25">
      <c r="A63" t="s">
        <v>71</v>
      </c>
      <c r="B63" t="s">
        <v>1271</v>
      </c>
      <c r="C63" t="s">
        <v>2405</v>
      </c>
      <c r="D63">
        <v>4</v>
      </c>
      <c r="E63">
        <v>122.2</v>
      </c>
      <c r="F63" t="s">
        <v>2463</v>
      </c>
      <c r="G63" t="s">
        <v>3065</v>
      </c>
      <c r="H63">
        <v>7</v>
      </c>
      <c r="I63" t="s">
        <v>3069</v>
      </c>
      <c r="J63">
        <v>488.8</v>
      </c>
    </row>
    <row r="64" spans="1:10" x14ac:dyDescent="0.25">
      <c r="A64" t="s">
        <v>72</v>
      </c>
      <c r="B64" t="s">
        <v>1272</v>
      </c>
      <c r="C64" t="s">
        <v>2405</v>
      </c>
      <c r="D64">
        <v>2</v>
      </c>
      <c r="E64">
        <v>43.15</v>
      </c>
      <c r="F64" t="s">
        <v>2464</v>
      </c>
      <c r="G64" t="s">
        <v>3061</v>
      </c>
      <c r="H64">
        <v>3</v>
      </c>
      <c r="I64" t="s">
        <v>3068</v>
      </c>
      <c r="J64">
        <v>86.3</v>
      </c>
    </row>
    <row r="65" spans="1:10" x14ac:dyDescent="0.25">
      <c r="A65" t="s">
        <v>73</v>
      </c>
      <c r="B65" t="s">
        <v>1273</v>
      </c>
      <c r="C65" t="s">
        <v>2402</v>
      </c>
      <c r="D65">
        <v>1</v>
      </c>
      <c r="E65">
        <v>564.86</v>
      </c>
      <c r="F65" t="s">
        <v>2465</v>
      </c>
      <c r="G65" t="s">
        <v>3061</v>
      </c>
      <c r="H65">
        <v>6</v>
      </c>
      <c r="I65" t="s">
        <v>3067</v>
      </c>
      <c r="J65">
        <v>564.86</v>
      </c>
    </row>
    <row r="66" spans="1:10" x14ac:dyDescent="0.25">
      <c r="A66" t="s">
        <v>74</v>
      </c>
      <c r="B66" t="s">
        <v>1274</v>
      </c>
      <c r="C66" t="s">
        <v>2403</v>
      </c>
      <c r="D66">
        <v>3</v>
      </c>
      <c r="E66">
        <v>130.61000000000001</v>
      </c>
      <c r="F66" t="s">
        <v>2466</v>
      </c>
      <c r="G66" t="s">
        <v>3061</v>
      </c>
      <c r="H66">
        <v>4</v>
      </c>
      <c r="I66" t="s">
        <v>3069</v>
      </c>
      <c r="J66">
        <v>391.83</v>
      </c>
    </row>
    <row r="67" spans="1:10" x14ac:dyDescent="0.25">
      <c r="A67" t="s">
        <v>75</v>
      </c>
      <c r="B67" t="s">
        <v>1275</v>
      </c>
      <c r="C67" t="s">
        <v>2399</v>
      </c>
      <c r="D67">
        <v>5</v>
      </c>
      <c r="E67">
        <v>81.7</v>
      </c>
      <c r="F67" t="s">
        <v>2467</v>
      </c>
      <c r="G67" t="s">
        <v>3063</v>
      </c>
      <c r="H67">
        <v>6</v>
      </c>
      <c r="I67" t="s">
        <v>3066</v>
      </c>
      <c r="J67">
        <v>408.5</v>
      </c>
    </row>
    <row r="68" spans="1:10" x14ac:dyDescent="0.25">
      <c r="A68" t="s">
        <v>76</v>
      </c>
      <c r="B68" t="s">
        <v>1276</v>
      </c>
      <c r="C68" t="s">
        <v>2402</v>
      </c>
      <c r="D68">
        <v>5</v>
      </c>
      <c r="E68">
        <v>127.18</v>
      </c>
      <c r="F68" t="s">
        <v>2468</v>
      </c>
      <c r="G68" t="s">
        <v>3065</v>
      </c>
      <c r="H68">
        <v>9</v>
      </c>
      <c r="I68" t="s">
        <v>3067</v>
      </c>
      <c r="J68">
        <v>635.90000000000009</v>
      </c>
    </row>
    <row r="69" spans="1:10" x14ac:dyDescent="0.25">
      <c r="A69" t="s">
        <v>77</v>
      </c>
      <c r="B69" t="s">
        <v>1277</v>
      </c>
      <c r="C69" t="s">
        <v>2403</v>
      </c>
      <c r="D69">
        <v>4</v>
      </c>
      <c r="E69">
        <v>12.1</v>
      </c>
      <c r="F69" t="s">
        <v>2469</v>
      </c>
      <c r="G69" t="s">
        <v>3061</v>
      </c>
      <c r="H69">
        <v>8</v>
      </c>
      <c r="I69" t="s">
        <v>3070</v>
      </c>
      <c r="J69">
        <v>48.4</v>
      </c>
    </row>
    <row r="70" spans="1:10" x14ac:dyDescent="0.25">
      <c r="A70" t="s">
        <v>78</v>
      </c>
      <c r="B70" t="s">
        <v>1278</v>
      </c>
      <c r="C70" t="s">
        <v>2402</v>
      </c>
      <c r="D70">
        <v>3</v>
      </c>
      <c r="E70">
        <v>490.92</v>
      </c>
      <c r="F70" t="s">
        <v>2431</v>
      </c>
      <c r="G70" t="s">
        <v>3063</v>
      </c>
      <c r="H70">
        <v>5</v>
      </c>
      <c r="I70" t="s">
        <v>3068</v>
      </c>
      <c r="J70">
        <v>1472.76</v>
      </c>
    </row>
    <row r="71" spans="1:10" x14ac:dyDescent="0.25">
      <c r="A71" t="s">
        <v>79</v>
      </c>
      <c r="B71" t="s">
        <v>1279</v>
      </c>
      <c r="C71" t="s">
        <v>2399</v>
      </c>
      <c r="D71">
        <v>3</v>
      </c>
      <c r="E71">
        <v>478.65</v>
      </c>
      <c r="F71" t="s">
        <v>2470</v>
      </c>
      <c r="G71" t="s">
        <v>3062</v>
      </c>
      <c r="H71">
        <v>4</v>
      </c>
      <c r="I71" t="s">
        <v>3067</v>
      </c>
      <c r="J71">
        <v>1435.95</v>
      </c>
    </row>
    <row r="72" spans="1:10" x14ac:dyDescent="0.25">
      <c r="A72" t="s">
        <v>80</v>
      </c>
      <c r="B72" t="s">
        <v>1280</v>
      </c>
      <c r="C72" t="s">
        <v>2405</v>
      </c>
      <c r="D72">
        <v>1</v>
      </c>
      <c r="E72">
        <v>629.21</v>
      </c>
      <c r="F72" t="s">
        <v>2471</v>
      </c>
      <c r="G72" t="s">
        <v>3064</v>
      </c>
      <c r="H72">
        <v>2</v>
      </c>
      <c r="I72" t="s">
        <v>3066</v>
      </c>
      <c r="J72">
        <v>629.21</v>
      </c>
    </row>
    <row r="73" spans="1:10" x14ac:dyDescent="0.25">
      <c r="A73" t="s">
        <v>81</v>
      </c>
      <c r="B73" t="s">
        <v>1281</v>
      </c>
      <c r="C73" t="s">
        <v>2399</v>
      </c>
      <c r="D73">
        <v>3</v>
      </c>
      <c r="E73">
        <v>434.45</v>
      </c>
      <c r="F73" t="s">
        <v>2472</v>
      </c>
      <c r="G73" t="s">
        <v>3063</v>
      </c>
      <c r="H73">
        <v>4</v>
      </c>
      <c r="I73" t="s">
        <v>3067</v>
      </c>
      <c r="J73">
        <v>1303.3499999999999</v>
      </c>
    </row>
    <row r="74" spans="1:10" x14ac:dyDescent="0.25">
      <c r="A74" t="s">
        <v>82</v>
      </c>
      <c r="B74" t="s">
        <v>1282</v>
      </c>
      <c r="C74" t="s">
        <v>2401</v>
      </c>
      <c r="D74">
        <v>4</v>
      </c>
      <c r="E74">
        <v>589.44000000000005</v>
      </c>
      <c r="F74" t="s">
        <v>2421</v>
      </c>
      <c r="G74" t="s">
        <v>3064</v>
      </c>
      <c r="H74">
        <v>5</v>
      </c>
      <c r="I74" t="s">
        <v>3069</v>
      </c>
      <c r="J74">
        <v>2357.7600000000002</v>
      </c>
    </row>
    <row r="75" spans="1:10" x14ac:dyDescent="0.25">
      <c r="A75" t="s">
        <v>83</v>
      </c>
      <c r="B75" t="s">
        <v>1283</v>
      </c>
      <c r="C75" t="s">
        <v>2399</v>
      </c>
      <c r="D75">
        <v>4</v>
      </c>
      <c r="E75">
        <v>433.45</v>
      </c>
      <c r="F75" t="s">
        <v>2473</v>
      </c>
      <c r="G75" t="s">
        <v>3064</v>
      </c>
      <c r="H75">
        <v>4</v>
      </c>
      <c r="I75" t="s">
        <v>3069</v>
      </c>
      <c r="J75">
        <v>1733.8</v>
      </c>
    </row>
    <row r="76" spans="1:10" x14ac:dyDescent="0.25">
      <c r="A76" t="s">
        <v>84</v>
      </c>
      <c r="B76" t="s">
        <v>1284</v>
      </c>
      <c r="C76" t="s">
        <v>2400</v>
      </c>
      <c r="D76">
        <v>5</v>
      </c>
      <c r="E76">
        <v>90.87</v>
      </c>
      <c r="F76" t="s">
        <v>2474</v>
      </c>
      <c r="G76" t="s">
        <v>3065</v>
      </c>
      <c r="H76">
        <v>5</v>
      </c>
      <c r="I76" t="s">
        <v>3066</v>
      </c>
      <c r="J76">
        <v>454.35</v>
      </c>
    </row>
    <row r="77" spans="1:10" x14ac:dyDescent="0.25">
      <c r="A77" t="s">
        <v>85</v>
      </c>
      <c r="B77" t="s">
        <v>1285</v>
      </c>
      <c r="C77" t="s">
        <v>2401</v>
      </c>
      <c r="D77">
        <v>3</v>
      </c>
      <c r="E77">
        <v>398.17</v>
      </c>
      <c r="F77" t="s">
        <v>2475</v>
      </c>
      <c r="G77" t="s">
        <v>3061</v>
      </c>
      <c r="H77">
        <v>5</v>
      </c>
      <c r="I77" t="s">
        <v>3068</v>
      </c>
      <c r="J77">
        <v>1194.51</v>
      </c>
    </row>
    <row r="78" spans="1:10" x14ac:dyDescent="0.25">
      <c r="A78" t="s">
        <v>86</v>
      </c>
      <c r="B78" t="s">
        <v>1286</v>
      </c>
      <c r="C78" t="s">
        <v>2404</v>
      </c>
      <c r="D78">
        <v>4</v>
      </c>
      <c r="E78">
        <v>382.88</v>
      </c>
      <c r="F78" t="s">
        <v>2476</v>
      </c>
      <c r="G78" t="s">
        <v>3065</v>
      </c>
      <c r="H78">
        <v>6</v>
      </c>
      <c r="I78" t="s">
        <v>3068</v>
      </c>
      <c r="J78">
        <v>1531.52</v>
      </c>
    </row>
    <row r="79" spans="1:10" x14ac:dyDescent="0.25">
      <c r="A79" t="s">
        <v>87</v>
      </c>
      <c r="B79" t="s">
        <v>1287</v>
      </c>
      <c r="C79" t="s">
        <v>2400</v>
      </c>
      <c r="D79">
        <v>1</v>
      </c>
      <c r="E79">
        <v>583.17999999999995</v>
      </c>
      <c r="F79" t="s">
        <v>2477</v>
      </c>
      <c r="G79" t="s">
        <v>3063</v>
      </c>
      <c r="H79">
        <v>5</v>
      </c>
      <c r="I79" t="s">
        <v>3070</v>
      </c>
      <c r="J79">
        <v>583.17999999999995</v>
      </c>
    </row>
    <row r="80" spans="1:10" x14ac:dyDescent="0.25">
      <c r="A80" t="s">
        <v>88</v>
      </c>
      <c r="B80" t="s">
        <v>1288</v>
      </c>
      <c r="C80" t="s">
        <v>2403</v>
      </c>
      <c r="D80">
        <v>4</v>
      </c>
      <c r="E80">
        <v>175.36</v>
      </c>
      <c r="F80" t="s">
        <v>2478</v>
      </c>
      <c r="G80" t="s">
        <v>3061</v>
      </c>
      <c r="H80">
        <v>4</v>
      </c>
      <c r="I80" t="s">
        <v>3066</v>
      </c>
      <c r="J80">
        <v>701.44</v>
      </c>
    </row>
    <row r="81" spans="1:10" x14ac:dyDescent="0.25">
      <c r="A81" t="s">
        <v>89</v>
      </c>
      <c r="B81" t="s">
        <v>1289</v>
      </c>
      <c r="C81" t="s">
        <v>2401</v>
      </c>
      <c r="D81">
        <v>2</v>
      </c>
      <c r="E81">
        <v>311.91000000000003</v>
      </c>
      <c r="F81" t="s">
        <v>2479</v>
      </c>
      <c r="G81" t="s">
        <v>3062</v>
      </c>
      <c r="H81">
        <v>2</v>
      </c>
      <c r="I81" t="s">
        <v>3069</v>
      </c>
      <c r="J81">
        <v>623.82000000000005</v>
      </c>
    </row>
    <row r="82" spans="1:10" x14ac:dyDescent="0.25">
      <c r="A82" t="s">
        <v>90</v>
      </c>
      <c r="B82" t="s">
        <v>1290</v>
      </c>
      <c r="C82" t="s">
        <v>2400</v>
      </c>
      <c r="D82">
        <v>3</v>
      </c>
      <c r="E82">
        <v>589.55999999999995</v>
      </c>
      <c r="F82" t="s">
        <v>2480</v>
      </c>
      <c r="G82" t="s">
        <v>3062</v>
      </c>
      <c r="H82">
        <v>6</v>
      </c>
      <c r="I82" t="s">
        <v>3069</v>
      </c>
      <c r="J82">
        <v>1768.68</v>
      </c>
    </row>
    <row r="83" spans="1:10" x14ac:dyDescent="0.25">
      <c r="A83" t="s">
        <v>91</v>
      </c>
      <c r="B83" t="s">
        <v>1291</v>
      </c>
      <c r="C83" t="s">
        <v>2399</v>
      </c>
      <c r="D83">
        <v>2</v>
      </c>
      <c r="E83">
        <v>394.3</v>
      </c>
      <c r="F83" t="s">
        <v>2481</v>
      </c>
      <c r="G83" t="s">
        <v>3065</v>
      </c>
      <c r="H83">
        <v>6</v>
      </c>
      <c r="I83" t="s">
        <v>3068</v>
      </c>
      <c r="J83">
        <v>788.6</v>
      </c>
    </row>
    <row r="84" spans="1:10" x14ac:dyDescent="0.25">
      <c r="A84" t="s">
        <v>92</v>
      </c>
      <c r="B84" t="s">
        <v>1292</v>
      </c>
      <c r="C84" t="s">
        <v>2401</v>
      </c>
      <c r="D84">
        <v>4</v>
      </c>
      <c r="E84">
        <v>565.20000000000005</v>
      </c>
      <c r="F84" t="s">
        <v>2482</v>
      </c>
      <c r="G84" t="s">
        <v>3061</v>
      </c>
      <c r="H84">
        <v>9</v>
      </c>
      <c r="I84" t="s">
        <v>3070</v>
      </c>
      <c r="J84">
        <v>2260.8000000000002</v>
      </c>
    </row>
    <row r="85" spans="1:10" x14ac:dyDescent="0.25">
      <c r="A85" t="s">
        <v>93</v>
      </c>
      <c r="B85" t="s">
        <v>1293</v>
      </c>
      <c r="C85" t="s">
        <v>2404</v>
      </c>
      <c r="D85">
        <v>4</v>
      </c>
      <c r="E85">
        <v>540.41</v>
      </c>
      <c r="F85" t="s">
        <v>2483</v>
      </c>
      <c r="G85" t="s">
        <v>3063</v>
      </c>
      <c r="H85">
        <v>6</v>
      </c>
      <c r="I85" t="s">
        <v>3067</v>
      </c>
      <c r="J85">
        <v>2161.64</v>
      </c>
    </row>
    <row r="86" spans="1:10" x14ac:dyDescent="0.25">
      <c r="A86" t="s">
        <v>94</v>
      </c>
      <c r="B86" t="s">
        <v>1294</v>
      </c>
      <c r="C86" t="s">
        <v>2399</v>
      </c>
      <c r="D86">
        <v>2</v>
      </c>
      <c r="E86">
        <v>165.49</v>
      </c>
      <c r="F86" t="s">
        <v>2484</v>
      </c>
      <c r="G86" t="s">
        <v>3062</v>
      </c>
      <c r="H86">
        <v>4</v>
      </c>
      <c r="I86" t="s">
        <v>3066</v>
      </c>
      <c r="J86">
        <v>330.98</v>
      </c>
    </row>
    <row r="87" spans="1:10" x14ac:dyDescent="0.25">
      <c r="A87" t="s">
        <v>95</v>
      </c>
      <c r="B87" t="s">
        <v>1295</v>
      </c>
      <c r="C87" t="s">
        <v>2401</v>
      </c>
      <c r="D87">
        <v>3</v>
      </c>
      <c r="E87">
        <v>146.72999999999999</v>
      </c>
      <c r="F87" t="s">
        <v>2485</v>
      </c>
      <c r="G87" t="s">
        <v>3065</v>
      </c>
      <c r="H87">
        <v>8</v>
      </c>
      <c r="I87" t="s">
        <v>3068</v>
      </c>
      <c r="J87">
        <v>440.18999999999988</v>
      </c>
    </row>
    <row r="88" spans="1:10" x14ac:dyDescent="0.25">
      <c r="A88" t="s">
        <v>96</v>
      </c>
      <c r="B88" t="s">
        <v>1296</v>
      </c>
      <c r="C88" t="s">
        <v>2403</v>
      </c>
      <c r="D88">
        <v>5</v>
      </c>
      <c r="E88">
        <v>643.03</v>
      </c>
      <c r="F88" t="s">
        <v>2486</v>
      </c>
      <c r="G88" t="s">
        <v>3062</v>
      </c>
      <c r="H88">
        <v>5</v>
      </c>
      <c r="I88" t="s">
        <v>3067</v>
      </c>
      <c r="J88">
        <v>3215.15</v>
      </c>
    </row>
    <row r="89" spans="1:10" x14ac:dyDescent="0.25">
      <c r="A89" t="s">
        <v>97</v>
      </c>
      <c r="B89" t="s">
        <v>1297</v>
      </c>
      <c r="C89" t="s">
        <v>2401</v>
      </c>
      <c r="D89">
        <v>3</v>
      </c>
      <c r="E89">
        <v>225.11</v>
      </c>
      <c r="F89" t="s">
        <v>2487</v>
      </c>
      <c r="G89" t="s">
        <v>3065</v>
      </c>
      <c r="H89">
        <v>4</v>
      </c>
      <c r="I89" t="s">
        <v>3069</v>
      </c>
      <c r="J89">
        <v>675.33</v>
      </c>
    </row>
    <row r="90" spans="1:10" x14ac:dyDescent="0.25">
      <c r="A90" t="s">
        <v>98</v>
      </c>
      <c r="B90" t="s">
        <v>1298</v>
      </c>
      <c r="C90" t="s">
        <v>2405</v>
      </c>
      <c r="D90">
        <v>3</v>
      </c>
      <c r="E90">
        <v>114.81</v>
      </c>
      <c r="F90" t="s">
        <v>2488</v>
      </c>
      <c r="G90" t="s">
        <v>3064</v>
      </c>
      <c r="H90">
        <v>7</v>
      </c>
      <c r="I90" t="s">
        <v>3070</v>
      </c>
      <c r="J90">
        <v>344.43</v>
      </c>
    </row>
    <row r="91" spans="1:10" x14ac:dyDescent="0.25">
      <c r="A91" t="s">
        <v>99</v>
      </c>
      <c r="B91" t="s">
        <v>1299</v>
      </c>
      <c r="C91" t="s">
        <v>2403</v>
      </c>
      <c r="D91">
        <v>5</v>
      </c>
      <c r="E91">
        <v>455.33</v>
      </c>
      <c r="F91" t="s">
        <v>2489</v>
      </c>
      <c r="G91" t="s">
        <v>3063</v>
      </c>
      <c r="H91">
        <v>8</v>
      </c>
      <c r="I91" t="s">
        <v>3070</v>
      </c>
      <c r="J91">
        <v>2276.65</v>
      </c>
    </row>
    <row r="92" spans="1:10" x14ac:dyDescent="0.25">
      <c r="A92" t="s">
        <v>100</v>
      </c>
      <c r="B92" t="s">
        <v>1300</v>
      </c>
      <c r="C92" t="s">
        <v>2402</v>
      </c>
      <c r="D92">
        <v>4</v>
      </c>
      <c r="E92">
        <v>182.08</v>
      </c>
      <c r="F92" t="s">
        <v>2490</v>
      </c>
      <c r="G92" t="s">
        <v>3064</v>
      </c>
      <c r="H92">
        <v>4</v>
      </c>
      <c r="I92" t="s">
        <v>3068</v>
      </c>
      <c r="J92">
        <v>728.32</v>
      </c>
    </row>
    <row r="93" spans="1:10" x14ac:dyDescent="0.25">
      <c r="A93" t="s">
        <v>101</v>
      </c>
      <c r="B93" t="s">
        <v>1301</v>
      </c>
      <c r="C93" t="s">
        <v>2404</v>
      </c>
      <c r="D93">
        <v>5</v>
      </c>
      <c r="E93">
        <v>492.75</v>
      </c>
      <c r="F93" t="s">
        <v>2491</v>
      </c>
      <c r="G93" t="s">
        <v>3065</v>
      </c>
      <c r="H93">
        <v>6</v>
      </c>
      <c r="I93" t="s">
        <v>3067</v>
      </c>
      <c r="J93">
        <v>2463.75</v>
      </c>
    </row>
    <row r="94" spans="1:10" x14ac:dyDescent="0.25">
      <c r="A94" t="s">
        <v>102</v>
      </c>
      <c r="B94" t="s">
        <v>1302</v>
      </c>
      <c r="C94" t="s">
        <v>2403</v>
      </c>
      <c r="D94">
        <v>4</v>
      </c>
      <c r="E94">
        <v>48.61</v>
      </c>
      <c r="F94" t="s">
        <v>2492</v>
      </c>
      <c r="G94" t="s">
        <v>3062</v>
      </c>
      <c r="H94">
        <v>7</v>
      </c>
      <c r="I94" t="s">
        <v>3069</v>
      </c>
      <c r="J94">
        <v>194.44</v>
      </c>
    </row>
    <row r="95" spans="1:10" x14ac:dyDescent="0.25">
      <c r="A95" t="s">
        <v>103</v>
      </c>
      <c r="B95" t="s">
        <v>1303</v>
      </c>
      <c r="C95" t="s">
        <v>2405</v>
      </c>
      <c r="D95">
        <v>4</v>
      </c>
      <c r="E95">
        <v>431.01</v>
      </c>
      <c r="F95" t="s">
        <v>2493</v>
      </c>
      <c r="G95" t="s">
        <v>3063</v>
      </c>
      <c r="H95">
        <v>7</v>
      </c>
      <c r="I95" t="s">
        <v>3067</v>
      </c>
      <c r="J95">
        <v>1724.04</v>
      </c>
    </row>
    <row r="96" spans="1:10" x14ac:dyDescent="0.25">
      <c r="A96" t="s">
        <v>104</v>
      </c>
      <c r="B96" t="s">
        <v>1304</v>
      </c>
      <c r="C96" t="s">
        <v>2402</v>
      </c>
      <c r="D96">
        <v>1</v>
      </c>
      <c r="E96">
        <v>531.17999999999995</v>
      </c>
      <c r="F96" t="s">
        <v>2494</v>
      </c>
      <c r="G96" t="s">
        <v>3064</v>
      </c>
      <c r="H96">
        <v>6</v>
      </c>
      <c r="I96" t="s">
        <v>3066</v>
      </c>
      <c r="J96">
        <v>531.17999999999995</v>
      </c>
    </row>
    <row r="97" spans="1:10" x14ac:dyDescent="0.25">
      <c r="A97" t="s">
        <v>105</v>
      </c>
      <c r="B97" t="s">
        <v>1305</v>
      </c>
      <c r="C97" t="s">
        <v>2403</v>
      </c>
      <c r="D97">
        <v>4</v>
      </c>
      <c r="E97">
        <v>117.51</v>
      </c>
      <c r="F97" t="s">
        <v>2495</v>
      </c>
      <c r="G97" t="s">
        <v>3061</v>
      </c>
      <c r="H97">
        <v>7</v>
      </c>
      <c r="I97" t="s">
        <v>3067</v>
      </c>
      <c r="J97">
        <v>470.04</v>
      </c>
    </row>
    <row r="98" spans="1:10" x14ac:dyDescent="0.25">
      <c r="A98" t="s">
        <v>106</v>
      </c>
      <c r="B98" t="s">
        <v>1306</v>
      </c>
      <c r="C98" t="s">
        <v>2400</v>
      </c>
      <c r="D98">
        <v>2</v>
      </c>
      <c r="E98">
        <v>232.83</v>
      </c>
      <c r="F98" t="s">
        <v>2479</v>
      </c>
      <c r="G98" t="s">
        <v>3064</v>
      </c>
      <c r="H98">
        <v>7</v>
      </c>
      <c r="I98" t="s">
        <v>3066</v>
      </c>
      <c r="J98">
        <v>465.66</v>
      </c>
    </row>
    <row r="99" spans="1:10" x14ac:dyDescent="0.25">
      <c r="A99" t="s">
        <v>107</v>
      </c>
      <c r="B99" t="s">
        <v>1307</v>
      </c>
      <c r="C99" t="s">
        <v>2401</v>
      </c>
      <c r="D99">
        <v>5</v>
      </c>
      <c r="E99">
        <v>619.52</v>
      </c>
      <c r="F99" t="s">
        <v>2496</v>
      </c>
      <c r="G99" t="s">
        <v>3061</v>
      </c>
      <c r="H99">
        <v>9</v>
      </c>
      <c r="I99" t="s">
        <v>3068</v>
      </c>
      <c r="J99">
        <v>3097.6</v>
      </c>
    </row>
    <row r="100" spans="1:10" x14ac:dyDescent="0.25">
      <c r="A100" t="s">
        <v>108</v>
      </c>
      <c r="B100" t="s">
        <v>1308</v>
      </c>
      <c r="C100" t="s">
        <v>2403</v>
      </c>
      <c r="D100">
        <v>2</v>
      </c>
      <c r="E100">
        <v>228.54</v>
      </c>
      <c r="F100" t="s">
        <v>2497</v>
      </c>
      <c r="G100" t="s">
        <v>3061</v>
      </c>
      <c r="H100">
        <v>3</v>
      </c>
      <c r="I100" t="s">
        <v>3068</v>
      </c>
      <c r="J100">
        <v>457.08</v>
      </c>
    </row>
    <row r="101" spans="1:10" x14ac:dyDescent="0.25">
      <c r="A101" t="s">
        <v>109</v>
      </c>
      <c r="B101" t="s">
        <v>1309</v>
      </c>
      <c r="C101" t="s">
        <v>2403</v>
      </c>
      <c r="D101">
        <v>1</v>
      </c>
      <c r="E101">
        <v>201.58</v>
      </c>
      <c r="F101" t="s">
        <v>2498</v>
      </c>
      <c r="G101" t="s">
        <v>3061</v>
      </c>
      <c r="H101">
        <v>2</v>
      </c>
      <c r="I101" t="s">
        <v>3068</v>
      </c>
      <c r="J101">
        <v>201.58</v>
      </c>
    </row>
    <row r="102" spans="1:10" x14ac:dyDescent="0.25">
      <c r="A102" t="s">
        <v>110</v>
      </c>
      <c r="B102" t="s">
        <v>1310</v>
      </c>
      <c r="C102" t="s">
        <v>2400</v>
      </c>
      <c r="D102">
        <v>3</v>
      </c>
      <c r="E102">
        <v>664.79</v>
      </c>
      <c r="F102" t="s">
        <v>2499</v>
      </c>
      <c r="G102" t="s">
        <v>3062</v>
      </c>
      <c r="H102">
        <v>6</v>
      </c>
      <c r="I102" t="s">
        <v>3069</v>
      </c>
      <c r="J102">
        <v>1994.37</v>
      </c>
    </row>
    <row r="103" spans="1:10" x14ac:dyDescent="0.25">
      <c r="A103" t="s">
        <v>111</v>
      </c>
      <c r="B103" t="s">
        <v>1311</v>
      </c>
      <c r="C103" t="s">
        <v>2403</v>
      </c>
      <c r="D103">
        <v>1</v>
      </c>
      <c r="E103">
        <v>381.02</v>
      </c>
      <c r="F103" t="s">
        <v>2500</v>
      </c>
      <c r="G103" t="s">
        <v>3065</v>
      </c>
      <c r="H103">
        <v>6</v>
      </c>
      <c r="I103" t="s">
        <v>3070</v>
      </c>
      <c r="J103">
        <v>381.02</v>
      </c>
    </row>
    <row r="104" spans="1:10" x14ac:dyDescent="0.25">
      <c r="A104" t="s">
        <v>112</v>
      </c>
      <c r="B104" t="s">
        <v>1312</v>
      </c>
      <c r="C104" t="s">
        <v>2404</v>
      </c>
      <c r="D104">
        <v>2</v>
      </c>
      <c r="E104">
        <v>70.34</v>
      </c>
      <c r="F104" t="s">
        <v>2501</v>
      </c>
      <c r="G104" t="s">
        <v>3064</v>
      </c>
      <c r="H104">
        <v>3</v>
      </c>
      <c r="I104" t="s">
        <v>3068</v>
      </c>
      <c r="J104">
        <v>140.68</v>
      </c>
    </row>
    <row r="105" spans="1:10" x14ac:dyDescent="0.25">
      <c r="A105" t="s">
        <v>113</v>
      </c>
      <c r="B105" t="s">
        <v>1313</v>
      </c>
      <c r="C105" t="s">
        <v>2400</v>
      </c>
      <c r="D105">
        <v>4</v>
      </c>
      <c r="E105">
        <v>218.43</v>
      </c>
      <c r="F105" t="s">
        <v>2502</v>
      </c>
      <c r="G105" t="s">
        <v>3063</v>
      </c>
      <c r="H105">
        <v>9</v>
      </c>
      <c r="I105" t="s">
        <v>3068</v>
      </c>
      <c r="J105">
        <v>873.72</v>
      </c>
    </row>
    <row r="106" spans="1:10" x14ac:dyDescent="0.25">
      <c r="A106" t="s">
        <v>114</v>
      </c>
      <c r="B106" t="s">
        <v>1314</v>
      </c>
      <c r="C106" t="s">
        <v>2400</v>
      </c>
      <c r="D106">
        <v>1</v>
      </c>
      <c r="E106">
        <v>582.04</v>
      </c>
      <c r="F106" t="s">
        <v>2503</v>
      </c>
      <c r="G106" t="s">
        <v>3064</v>
      </c>
      <c r="H106">
        <v>1</v>
      </c>
      <c r="I106" t="s">
        <v>3068</v>
      </c>
      <c r="J106">
        <v>582.04</v>
      </c>
    </row>
    <row r="107" spans="1:10" x14ac:dyDescent="0.25">
      <c r="A107" t="s">
        <v>115</v>
      </c>
      <c r="B107" t="s">
        <v>1315</v>
      </c>
      <c r="C107" t="s">
        <v>2403</v>
      </c>
      <c r="D107">
        <v>3</v>
      </c>
      <c r="E107">
        <v>185.4</v>
      </c>
      <c r="F107" t="s">
        <v>2504</v>
      </c>
      <c r="G107" t="s">
        <v>3064</v>
      </c>
      <c r="H107">
        <v>7</v>
      </c>
      <c r="I107" t="s">
        <v>3069</v>
      </c>
      <c r="J107">
        <v>556.20000000000005</v>
      </c>
    </row>
    <row r="108" spans="1:10" x14ac:dyDescent="0.25">
      <c r="A108" t="s">
        <v>116</v>
      </c>
      <c r="B108" t="s">
        <v>1316</v>
      </c>
      <c r="C108" t="s">
        <v>2405</v>
      </c>
      <c r="D108">
        <v>3</v>
      </c>
      <c r="E108">
        <v>465.05</v>
      </c>
      <c r="F108" t="s">
        <v>2505</v>
      </c>
      <c r="G108" t="s">
        <v>3063</v>
      </c>
      <c r="H108">
        <v>3</v>
      </c>
      <c r="I108" t="s">
        <v>3068</v>
      </c>
      <c r="J108">
        <v>1395.15</v>
      </c>
    </row>
    <row r="109" spans="1:10" x14ac:dyDescent="0.25">
      <c r="A109" t="s">
        <v>117</v>
      </c>
      <c r="B109" t="s">
        <v>1317</v>
      </c>
      <c r="C109" t="s">
        <v>2403</v>
      </c>
      <c r="D109">
        <v>5</v>
      </c>
      <c r="E109">
        <v>670.75</v>
      </c>
      <c r="F109" t="s">
        <v>2506</v>
      </c>
      <c r="G109" t="s">
        <v>3064</v>
      </c>
      <c r="H109">
        <v>8</v>
      </c>
      <c r="I109" t="s">
        <v>3066</v>
      </c>
      <c r="J109">
        <v>3353.75</v>
      </c>
    </row>
    <row r="110" spans="1:10" x14ac:dyDescent="0.25">
      <c r="A110" t="s">
        <v>118</v>
      </c>
      <c r="B110" t="s">
        <v>1318</v>
      </c>
      <c r="C110" t="s">
        <v>2404</v>
      </c>
      <c r="D110">
        <v>5</v>
      </c>
      <c r="E110">
        <v>48.38</v>
      </c>
      <c r="F110" t="s">
        <v>2507</v>
      </c>
      <c r="G110" t="s">
        <v>3064</v>
      </c>
      <c r="H110">
        <v>9</v>
      </c>
      <c r="I110" t="s">
        <v>3068</v>
      </c>
      <c r="J110">
        <v>241.9</v>
      </c>
    </row>
    <row r="111" spans="1:10" x14ac:dyDescent="0.25">
      <c r="A111" t="s">
        <v>119</v>
      </c>
      <c r="B111" t="s">
        <v>1319</v>
      </c>
      <c r="C111" t="s">
        <v>2405</v>
      </c>
      <c r="D111">
        <v>3</v>
      </c>
      <c r="E111">
        <v>592.87</v>
      </c>
      <c r="F111" t="s">
        <v>2508</v>
      </c>
      <c r="G111" t="s">
        <v>3064</v>
      </c>
      <c r="H111">
        <v>3</v>
      </c>
      <c r="I111" t="s">
        <v>3067</v>
      </c>
      <c r="J111">
        <v>1778.61</v>
      </c>
    </row>
    <row r="112" spans="1:10" x14ac:dyDescent="0.25">
      <c r="A112" t="s">
        <v>120</v>
      </c>
      <c r="B112" t="s">
        <v>1320</v>
      </c>
      <c r="C112" t="s">
        <v>2401</v>
      </c>
      <c r="D112">
        <v>1</v>
      </c>
      <c r="E112">
        <v>220.77</v>
      </c>
      <c r="F112" t="s">
        <v>2509</v>
      </c>
      <c r="G112" t="s">
        <v>3064</v>
      </c>
      <c r="H112">
        <v>5</v>
      </c>
      <c r="I112" t="s">
        <v>3066</v>
      </c>
      <c r="J112">
        <v>220.77</v>
      </c>
    </row>
    <row r="113" spans="1:10" x14ac:dyDescent="0.25">
      <c r="A113" t="s">
        <v>121</v>
      </c>
      <c r="B113" t="s">
        <v>1321</v>
      </c>
      <c r="C113" t="s">
        <v>2405</v>
      </c>
      <c r="D113">
        <v>3</v>
      </c>
      <c r="E113">
        <v>309.22000000000003</v>
      </c>
      <c r="F113" t="s">
        <v>2510</v>
      </c>
      <c r="G113" t="s">
        <v>3062</v>
      </c>
      <c r="H113">
        <v>7</v>
      </c>
      <c r="I113" t="s">
        <v>3070</v>
      </c>
      <c r="J113">
        <v>927.66000000000008</v>
      </c>
    </row>
    <row r="114" spans="1:10" x14ac:dyDescent="0.25">
      <c r="A114" t="s">
        <v>122</v>
      </c>
      <c r="B114" t="s">
        <v>1322</v>
      </c>
      <c r="C114" t="s">
        <v>2399</v>
      </c>
      <c r="D114">
        <v>1</v>
      </c>
      <c r="E114">
        <v>410.6</v>
      </c>
      <c r="F114" t="s">
        <v>2511</v>
      </c>
      <c r="G114" t="s">
        <v>3062</v>
      </c>
      <c r="H114">
        <v>2</v>
      </c>
      <c r="I114" t="s">
        <v>3067</v>
      </c>
      <c r="J114">
        <v>410.6</v>
      </c>
    </row>
    <row r="115" spans="1:10" x14ac:dyDescent="0.25">
      <c r="A115" t="s">
        <v>123</v>
      </c>
      <c r="B115" t="s">
        <v>1323</v>
      </c>
      <c r="C115" t="s">
        <v>2404</v>
      </c>
      <c r="D115">
        <v>5</v>
      </c>
      <c r="E115">
        <v>190.08</v>
      </c>
      <c r="F115" t="s">
        <v>2512</v>
      </c>
      <c r="G115" t="s">
        <v>3065</v>
      </c>
      <c r="H115">
        <v>9</v>
      </c>
      <c r="I115" t="s">
        <v>3066</v>
      </c>
      <c r="J115">
        <v>950.40000000000009</v>
      </c>
    </row>
    <row r="116" spans="1:10" x14ac:dyDescent="0.25">
      <c r="A116" t="s">
        <v>124</v>
      </c>
      <c r="B116" t="s">
        <v>1324</v>
      </c>
      <c r="C116" t="s">
        <v>2399</v>
      </c>
      <c r="D116">
        <v>5</v>
      </c>
      <c r="E116">
        <v>498.48</v>
      </c>
      <c r="F116" t="s">
        <v>2513</v>
      </c>
      <c r="G116" t="s">
        <v>3062</v>
      </c>
      <c r="H116">
        <v>8</v>
      </c>
      <c r="I116" t="s">
        <v>3070</v>
      </c>
      <c r="J116">
        <v>2492.4</v>
      </c>
    </row>
    <row r="117" spans="1:10" x14ac:dyDescent="0.25">
      <c r="A117" t="s">
        <v>125</v>
      </c>
      <c r="B117" t="s">
        <v>1325</v>
      </c>
      <c r="C117" t="s">
        <v>2400</v>
      </c>
      <c r="D117">
        <v>5</v>
      </c>
      <c r="E117">
        <v>374.99</v>
      </c>
      <c r="F117" t="s">
        <v>2514</v>
      </c>
      <c r="G117" t="s">
        <v>3062</v>
      </c>
      <c r="H117">
        <v>9</v>
      </c>
      <c r="I117" t="s">
        <v>3069</v>
      </c>
      <c r="J117">
        <v>1874.95</v>
      </c>
    </row>
    <row r="118" spans="1:10" x14ac:dyDescent="0.25">
      <c r="A118" t="s">
        <v>126</v>
      </c>
      <c r="B118" t="s">
        <v>1326</v>
      </c>
      <c r="C118" t="s">
        <v>2403</v>
      </c>
      <c r="D118">
        <v>4</v>
      </c>
      <c r="E118">
        <v>291.35000000000002</v>
      </c>
      <c r="F118" t="s">
        <v>2515</v>
      </c>
      <c r="G118" t="s">
        <v>3063</v>
      </c>
      <c r="H118">
        <v>6</v>
      </c>
      <c r="I118" t="s">
        <v>3069</v>
      </c>
      <c r="J118">
        <v>1165.4000000000001</v>
      </c>
    </row>
    <row r="119" spans="1:10" x14ac:dyDescent="0.25">
      <c r="A119" t="s">
        <v>127</v>
      </c>
      <c r="B119" t="s">
        <v>1327</v>
      </c>
      <c r="C119" t="s">
        <v>2401</v>
      </c>
      <c r="D119">
        <v>1</v>
      </c>
      <c r="E119">
        <v>535.5</v>
      </c>
      <c r="F119" t="s">
        <v>2516</v>
      </c>
      <c r="G119" t="s">
        <v>3064</v>
      </c>
      <c r="H119">
        <v>5</v>
      </c>
      <c r="I119" t="s">
        <v>3067</v>
      </c>
      <c r="J119">
        <v>535.5</v>
      </c>
    </row>
    <row r="120" spans="1:10" x14ac:dyDescent="0.25">
      <c r="A120" t="s">
        <v>128</v>
      </c>
      <c r="B120" t="s">
        <v>1328</v>
      </c>
      <c r="C120" t="s">
        <v>2403</v>
      </c>
      <c r="D120">
        <v>5</v>
      </c>
      <c r="E120">
        <v>502.71</v>
      </c>
      <c r="F120" t="s">
        <v>2517</v>
      </c>
      <c r="G120" t="s">
        <v>3064</v>
      </c>
      <c r="H120">
        <v>7</v>
      </c>
      <c r="I120" t="s">
        <v>3070</v>
      </c>
      <c r="J120">
        <v>2513.5500000000002</v>
      </c>
    </row>
    <row r="121" spans="1:10" x14ac:dyDescent="0.25">
      <c r="A121" t="s">
        <v>129</v>
      </c>
      <c r="B121" t="s">
        <v>1329</v>
      </c>
      <c r="C121" t="s">
        <v>2405</v>
      </c>
      <c r="D121">
        <v>2</v>
      </c>
      <c r="E121">
        <v>534.66999999999996</v>
      </c>
      <c r="F121" t="s">
        <v>2518</v>
      </c>
      <c r="G121" t="s">
        <v>3061</v>
      </c>
      <c r="H121">
        <v>7</v>
      </c>
      <c r="I121" t="s">
        <v>3067</v>
      </c>
      <c r="J121">
        <v>1069.3399999999999</v>
      </c>
    </row>
    <row r="122" spans="1:10" x14ac:dyDescent="0.25">
      <c r="A122" t="s">
        <v>130</v>
      </c>
      <c r="B122" t="s">
        <v>1330</v>
      </c>
      <c r="C122" t="s">
        <v>2401</v>
      </c>
      <c r="D122">
        <v>4</v>
      </c>
      <c r="E122">
        <v>629.34</v>
      </c>
      <c r="F122" t="s">
        <v>2412</v>
      </c>
      <c r="G122" t="s">
        <v>3065</v>
      </c>
      <c r="H122">
        <v>4</v>
      </c>
      <c r="I122" t="s">
        <v>3066</v>
      </c>
      <c r="J122">
        <v>2517.36</v>
      </c>
    </row>
    <row r="123" spans="1:10" x14ac:dyDescent="0.25">
      <c r="A123" t="s">
        <v>131</v>
      </c>
      <c r="B123" t="s">
        <v>1331</v>
      </c>
      <c r="C123" t="s">
        <v>2405</v>
      </c>
      <c r="D123">
        <v>1</v>
      </c>
      <c r="E123">
        <v>410.78</v>
      </c>
      <c r="F123" t="s">
        <v>2519</v>
      </c>
      <c r="G123" t="s">
        <v>3065</v>
      </c>
      <c r="H123">
        <v>1</v>
      </c>
      <c r="I123" t="s">
        <v>3066</v>
      </c>
      <c r="J123">
        <v>410.78</v>
      </c>
    </row>
    <row r="124" spans="1:10" x14ac:dyDescent="0.25">
      <c r="A124" t="s">
        <v>132</v>
      </c>
      <c r="B124" t="s">
        <v>1332</v>
      </c>
      <c r="C124" t="s">
        <v>2404</v>
      </c>
      <c r="D124">
        <v>2</v>
      </c>
      <c r="E124">
        <v>533.02</v>
      </c>
      <c r="F124" t="s">
        <v>2520</v>
      </c>
      <c r="G124" t="s">
        <v>3064</v>
      </c>
      <c r="H124">
        <v>2</v>
      </c>
      <c r="I124" t="s">
        <v>3069</v>
      </c>
      <c r="J124">
        <v>1066.04</v>
      </c>
    </row>
    <row r="125" spans="1:10" x14ac:dyDescent="0.25">
      <c r="A125" t="s">
        <v>133</v>
      </c>
      <c r="B125" t="s">
        <v>1333</v>
      </c>
      <c r="C125" t="s">
        <v>2405</v>
      </c>
      <c r="D125">
        <v>3</v>
      </c>
      <c r="E125">
        <v>278.04000000000002</v>
      </c>
      <c r="F125" t="s">
        <v>2521</v>
      </c>
      <c r="G125" t="s">
        <v>3062</v>
      </c>
      <c r="H125">
        <v>5</v>
      </c>
      <c r="I125" t="s">
        <v>3066</v>
      </c>
      <c r="J125">
        <v>834.12000000000012</v>
      </c>
    </row>
    <row r="126" spans="1:10" x14ac:dyDescent="0.25">
      <c r="A126" t="s">
        <v>134</v>
      </c>
      <c r="B126" t="s">
        <v>1334</v>
      </c>
      <c r="C126" t="s">
        <v>2403</v>
      </c>
      <c r="D126">
        <v>4</v>
      </c>
      <c r="E126">
        <v>283.79000000000002</v>
      </c>
      <c r="F126" t="s">
        <v>2522</v>
      </c>
      <c r="G126" t="s">
        <v>3062</v>
      </c>
      <c r="H126">
        <v>8</v>
      </c>
      <c r="I126" t="s">
        <v>3070</v>
      </c>
      <c r="J126">
        <v>1135.1600000000001</v>
      </c>
    </row>
    <row r="127" spans="1:10" x14ac:dyDescent="0.25">
      <c r="A127" t="s">
        <v>135</v>
      </c>
      <c r="B127" t="s">
        <v>1335</v>
      </c>
      <c r="C127" t="s">
        <v>2400</v>
      </c>
      <c r="D127">
        <v>2</v>
      </c>
      <c r="E127">
        <v>512.65</v>
      </c>
      <c r="F127" t="s">
        <v>2523</v>
      </c>
      <c r="G127" t="s">
        <v>3063</v>
      </c>
      <c r="H127">
        <v>5</v>
      </c>
      <c r="I127" t="s">
        <v>3068</v>
      </c>
      <c r="J127">
        <v>1025.3</v>
      </c>
    </row>
    <row r="128" spans="1:10" x14ac:dyDescent="0.25">
      <c r="A128" t="s">
        <v>136</v>
      </c>
      <c r="B128" t="s">
        <v>1336</v>
      </c>
      <c r="C128" t="s">
        <v>2405</v>
      </c>
      <c r="D128">
        <v>4</v>
      </c>
      <c r="E128">
        <v>275.5</v>
      </c>
      <c r="F128" t="s">
        <v>2524</v>
      </c>
      <c r="G128" t="s">
        <v>3064</v>
      </c>
      <c r="H128">
        <v>8</v>
      </c>
      <c r="I128" t="s">
        <v>3070</v>
      </c>
      <c r="J128">
        <v>1102</v>
      </c>
    </row>
    <row r="129" spans="1:10" x14ac:dyDescent="0.25">
      <c r="A129" t="s">
        <v>137</v>
      </c>
      <c r="B129" t="s">
        <v>1337</v>
      </c>
      <c r="C129" t="s">
        <v>2405</v>
      </c>
      <c r="D129">
        <v>3</v>
      </c>
      <c r="E129">
        <v>469.32</v>
      </c>
      <c r="F129" t="s">
        <v>2525</v>
      </c>
      <c r="G129" t="s">
        <v>3061</v>
      </c>
      <c r="H129">
        <v>3</v>
      </c>
      <c r="I129" t="s">
        <v>3070</v>
      </c>
      <c r="J129">
        <v>1407.96</v>
      </c>
    </row>
    <row r="130" spans="1:10" x14ac:dyDescent="0.25">
      <c r="A130" t="s">
        <v>138</v>
      </c>
      <c r="B130" t="s">
        <v>1338</v>
      </c>
      <c r="C130" t="s">
        <v>2401</v>
      </c>
      <c r="D130">
        <v>4</v>
      </c>
      <c r="E130">
        <v>21.07</v>
      </c>
      <c r="F130" t="s">
        <v>2526</v>
      </c>
      <c r="G130" t="s">
        <v>3064</v>
      </c>
      <c r="H130">
        <v>4</v>
      </c>
      <c r="I130" t="s">
        <v>3070</v>
      </c>
      <c r="J130">
        <v>84.28</v>
      </c>
    </row>
    <row r="131" spans="1:10" x14ac:dyDescent="0.25">
      <c r="A131" t="s">
        <v>139</v>
      </c>
      <c r="B131" t="s">
        <v>1339</v>
      </c>
      <c r="C131" t="s">
        <v>2404</v>
      </c>
      <c r="D131">
        <v>4</v>
      </c>
      <c r="E131">
        <v>263.93</v>
      </c>
      <c r="F131" t="s">
        <v>2527</v>
      </c>
      <c r="G131" t="s">
        <v>3061</v>
      </c>
      <c r="H131">
        <v>4</v>
      </c>
      <c r="I131" t="s">
        <v>3069</v>
      </c>
      <c r="J131">
        <v>1055.72</v>
      </c>
    </row>
    <row r="132" spans="1:10" x14ac:dyDescent="0.25">
      <c r="A132" t="s">
        <v>140</v>
      </c>
      <c r="B132" t="s">
        <v>1340</v>
      </c>
      <c r="C132" t="s">
        <v>2405</v>
      </c>
      <c r="D132">
        <v>3</v>
      </c>
      <c r="E132">
        <v>501.3</v>
      </c>
      <c r="F132" t="s">
        <v>2528</v>
      </c>
      <c r="G132" t="s">
        <v>3062</v>
      </c>
      <c r="H132">
        <v>3</v>
      </c>
      <c r="I132" t="s">
        <v>3069</v>
      </c>
      <c r="J132">
        <v>1503.9</v>
      </c>
    </row>
    <row r="133" spans="1:10" x14ac:dyDescent="0.25">
      <c r="A133" t="s">
        <v>141</v>
      </c>
      <c r="B133" t="s">
        <v>1341</v>
      </c>
      <c r="C133" t="s">
        <v>2401</v>
      </c>
      <c r="D133">
        <v>1</v>
      </c>
      <c r="E133">
        <v>84.8</v>
      </c>
      <c r="F133" t="s">
        <v>2529</v>
      </c>
      <c r="G133" t="s">
        <v>3064</v>
      </c>
      <c r="H133">
        <v>5</v>
      </c>
      <c r="I133" t="s">
        <v>3066</v>
      </c>
      <c r="J133">
        <v>84.8</v>
      </c>
    </row>
    <row r="134" spans="1:10" x14ac:dyDescent="0.25">
      <c r="A134" t="s">
        <v>142</v>
      </c>
      <c r="B134" t="s">
        <v>1342</v>
      </c>
      <c r="C134" t="s">
        <v>2401</v>
      </c>
      <c r="D134">
        <v>4</v>
      </c>
      <c r="E134">
        <v>450.75</v>
      </c>
      <c r="F134" t="s">
        <v>2530</v>
      </c>
      <c r="G134" t="s">
        <v>3063</v>
      </c>
      <c r="H134">
        <v>6</v>
      </c>
      <c r="I134" t="s">
        <v>3068</v>
      </c>
      <c r="J134">
        <v>1803</v>
      </c>
    </row>
    <row r="135" spans="1:10" x14ac:dyDescent="0.25">
      <c r="A135" t="s">
        <v>143</v>
      </c>
      <c r="B135" t="s">
        <v>1343</v>
      </c>
      <c r="C135" t="s">
        <v>2402</v>
      </c>
      <c r="D135">
        <v>4</v>
      </c>
      <c r="E135">
        <v>302.05</v>
      </c>
      <c r="F135" t="s">
        <v>2531</v>
      </c>
      <c r="G135" t="s">
        <v>3061</v>
      </c>
      <c r="H135">
        <v>6</v>
      </c>
      <c r="I135" t="s">
        <v>3070</v>
      </c>
      <c r="J135">
        <v>1208.2</v>
      </c>
    </row>
    <row r="136" spans="1:10" x14ac:dyDescent="0.25">
      <c r="A136" t="s">
        <v>144</v>
      </c>
      <c r="B136" t="s">
        <v>1344</v>
      </c>
      <c r="C136" t="s">
        <v>2404</v>
      </c>
      <c r="D136">
        <v>2</v>
      </c>
      <c r="E136">
        <v>199.7</v>
      </c>
      <c r="F136" t="s">
        <v>2530</v>
      </c>
      <c r="G136" t="s">
        <v>3065</v>
      </c>
      <c r="H136">
        <v>4</v>
      </c>
      <c r="I136" t="s">
        <v>3068</v>
      </c>
      <c r="J136">
        <v>399.4</v>
      </c>
    </row>
    <row r="137" spans="1:10" x14ac:dyDescent="0.25">
      <c r="A137" t="s">
        <v>145</v>
      </c>
      <c r="B137" t="s">
        <v>1345</v>
      </c>
      <c r="C137" t="s">
        <v>2403</v>
      </c>
      <c r="D137">
        <v>2</v>
      </c>
      <c r="E137">
        <v>68.81</v>
      </c>
      <c r="F137" t="s">
        <v>2532</v>
      </c>
      <c r="G137" t="s">
        <v>3064</v>
      </c>
      <c r="H137">
        <v>5</v>
      </c>
      <c r="I137" t="s">
        <v>3067</v>
      </c>
      <c r="J137">
        <v>137.62</v>
      </c>
    </row>
    <row r="138" spans="1:10" x14ac:dyDescent="0.25">
      <c r="A138" t="s">
        <v>146</v>
      </c>
      <c r="B138" t="s">
        <v>1346</v>
      </c>
      <c r="C138" t="s">
        <v>2404</v>
      </c>
      <c r="D138">
        <v>1</v>
      </c>
      <c r="E138">
        <v>44.35</v>
      </c>
      <c r="F138" t="s">
        <v>2533</v>
      </c>
      <c r="G138" t="s">
        <v>3064</v>
      </c>
      <c r="H138">
        <v>1</v>
      </c>
      <c r="I138" t="s">
        <v>3066</v>
      </c>
      <c r="J138">
        <v>44.35</v>
      </c>
    </row>
    <row r="139" spans="1:10" x14ac:dyDescent="0.25">
      <c r="A139" t="s">
        <v>147</v>
      </c>
      <c r="B139" t="s">
        <v>1347</v>
      </c>
      <c r="C139" t="s">
        <v>2399</v>
      </c>
      <c r="D139">
        <v>2</v>
      </c>
      <c r="E139">
        <v>250.98</v>
      </c>
      <c r="F139" t="s">
        <v>2534</v>
      </c>
      <c r="G139" t="s">
        <v>3063</v>
      </c>
      <c r="H139">
        <v>5</v>
      </c>
      <c r="I139" t="s">
        <v>3070</v>
      </c>
      <c r="J139">
        <v>501.96</v>
      </c>
    </row>
    <row r="140" spans="1:10" x14ac:dyDescent="0.25">
      <c r="A140" t="s">
        <v>148</v>
      </c>
      <c r="B140" t="s">
        <v>1348</v>
      </c>
      <c r="C140" t="s">
        <v>2401</v>
      </c>
      <c r="D140">
        <v>1</v>
      </c>
      <c r="E140">
        <v>298.06</v>
      </c>
      <c r="F140" t="s">
        <v>2535</v>
      </c>
      <c r="G140" t="s">
        <v>3061</v>
      </c>
      <c r="H140">
        <v>3</v>
      </c>
      <c r="I140" t="s">
        <v>3070</v>
      </c>
      <c r="J140">
        <v>298.06</v>
      </c>
    </row>
    <row r="141" spans="1:10" x14ac:dyDescent="0.25">
      <c r="A141" t="s">
        <v>149</v>
      </c>
      <c r="B141" t="s">
        <v>1349</v>
      </c>
      <c r="C141" t="s">
        <v>2400</v>
      </c>
      <c r="D141">
        <v>1</v>
      </c>
      <c r="E141">
        <v>583.9</v>
      </c>
      <c r="F141" t="s">
        <v>2536</v>
      </c>
      <c r="G141" t="s">
        <v>3065</v>
      </c>
      <c r="H141">
        <v>1</v>
      </c>
      <c r="I141" t="s">
        <v>3068</v>
      </c>
      <c r="J141">
        <v>583.9</v>
      </c>
    </row>
    <row r="142" spans="1:10" x14ac:dyDescent="0.25">
      <c r="A142" t="s">
        <v>150</v>
      </c>
      <c r="B142" t="s">
        <v>1350</v>
      </c>
      <c r="C142" t="s">
        <v>2402</v>
      </c>
      <c r="D142">
        <v>3</v>
      </c>
      <c r="E142">
        <v>528.14</v>
      </c>
      <c r="F142" t="s">
        <v>2509</v>
      </c>
      <c r="G142" t="s">
        <v>3062</v>
      </c>
      <c r="H142">
        <v>3</v>
      </c>
      <c r="I142" t="s">
        <v>3068</v>
      </c>
      <c r="J142">
        <v>1584.42</v>
      </c>
    </row>
    <row r="143" spans="1:10" x14ac:dyDescent="0.25">
      <c r="A143" t="s">
        <v>151</v>
      </c>
      <c r="B143" t="s">
        <v>1351</v>
      </c>
      <c r="C143" t="s">
        <v>2403</v>
      </c>
      <c r="D143">
        <v>3</v>
      </c>
      <c r="E143">
        <v>684.14</v>
      </c>
      <c r="F143" t="s">
        <v>2537</v>
      </c>
      <c r="G143" t="s">
        <v>3065</v>
      </c>
      <c r="H143">
        <v>3</v>
      </c>
      <c r="I143" t="s">
        <v>3066</v>
      </c>
      <c r="J143">
        <v>2052.42</v>
      </c>
    </row>
    <row r="144" spans="1:10" x14ac:dyDescent="0.25">
      <c r="A144" t="s">
        <v>152</v>
      </c>
      <c r="B144" t="s">
        <v>1352</v>
      </c>
      <c r="C144" t="s">
        <v>2405</v>
      </c>
      <c r="D144">
        <v>5</v>
      </c>
      <c r="E144">
        <v>272.77</v>
      </c>
      <c r="F144" t="s">
        <v>2538</v>
      </c>
      <c r="G144" t="s">
        <v>3065</v>
      </c>
      <c r="H144">
        <v>7</v>
      </c>
      <c r="I144" t="s">
        <v>3068</v>
      </c>
      <c r="J144">
        <v>1363.85</v>
      </c>
    </row>
    <row r="145" spans="1:10" x14ac:dyDescent="0.25">
      <c r="A145" t="s">
        <v>153</v>
      </c>
      <c r="B145" t="s">
        <v>1353</v>
      </c>
      <c r="C145" t="s">
        <v>2402</v>
      </c>
      <c r="D145">
        <v>4</v>
      </c>
      <c r="E145">
        <v>400.07</v>
      </c>
      <c r="F145" t="s">
        <v>2539</v>
      </c>
      <c r="G145" t="s">
        <v>3062</v>
      </c>
      <c r="H145">
        <v>5</v>
      </c>
      <c r="I145" t="s">
        <v>3067</v>
      </c>
      <c r="J145">
        <v>1600.28</v>
      </c>
    </row>
    <row r="146" spans="1:10" x14ac:dyDescent="0.25">
      <c r="A146" t="s">
        <v>154</v>
      </c>
      <c r="B146" t="s">
        <v>1354</v>
      </c>
      <c r="C146" t="s">
        <v>2405</v>
      </c>
      <c r="D146">
        <v>5</v>
      </c>
      <c r="E146">
        <v>219.78</v>
      </c>
      <c r="F146" t="s">
        <v>2436</v>
      </c>
      <c r="G146" t="s">
        <v>3063</v>
      </c>
      <c r="H146">
        <v>8</v>
      </c>
      <c r="I146" t="s">
        <v>3069</v>
      </c>
      <c r="J146">
        <v>1098.9000000000001</v>
      </c>
    </row>
    <row r="147" spans="1:10" x14ac:dyDescent="0.25">
      <c r="A147" t="s">
        <v>155</v>
      </c>
      <c r="B147" t="s">
        <v>1355</v>
      </c>
      <c r="C147" t="s">
        <v>2403</v>
      </c>
      <c r="D147">
        <v>3</v>
      </c>
      <c r="E147">
        <v>146.91</v>
      </c>
      <c r="F147" t="s">
        <v>2540</v>
      </c>
      <c r="G147" t="s">
        <v>3063</v>
      </c>
      <c r="H147">
        <v>6</v>
      </c>
      <c r="I147" t="s">
        <v>3070</v>
      </c>
      <c r="J147">
        <v>440.73</v>
      </c>
    </row>
    <row r="148" spans="1:10" x14ac:dyDescent="0.25">
      <c r="A148" t="s">
        <v>156</v>
      </c>
      <c r="B148" t="s">
        <v>1356</v>
      </c>
      <c r="C148" t="s">
        <v>2401</v>
      </c>
      <c r="D148">
        <v>2</v>
      </c>
      <c r="E148">
        <v>411.49</v>
      </c>
      <c r="F148" t="s">
        <v>2541</v>
      </c>
      <c r="G148" t="s">
        <v>3063</v>
      </c>
      <c r="H148">
        <v>4</v>
      </c>
      <c r="I148" t="s">
        <v>3066</v>
      </c>
      <c r="J148">
        <v>822.98</v>
      </c>
    </row>
    <row r="149" spans="1:10" x14ac:dyDescent="0.25">
      <c r="A149" t="s">
        <v>157</v>
      </c>
      <c r="B149" t="s">
        <v>1357</v>
      </c>
      <c r="C149" t="s">
        <v>2404</v>
      </c>
      <c r="D149">
        <v>2</v>
      </c>
      <c r="E149">
        <v>465.18</v>
      </c>
      <c r="F149" t="s">
        <v>2542</v>
      </c>
      <c r="G149" t="s">
        <v>3063</v>
      </c>
      <c r="H149">
        <v>2</v>
      </c>
      <c r="I149" t="s">
        <v>3070</v>
      </c>
      <c r="J149">
        <v>930.36</v>
      </c>
    </row>
    <row r="150" spans="1:10" x14ac:dyDescent="0.25">
      <c r="A150" t="s">
        <v>158</v>
      </c>
      <c r="B150" t="s">
        <v>1358</v>
      </c>
      <c r="C150" t="s">
        <v>2400</v>
      </c>
      <c r="D150">
        <v>2</v>
      </c>
      <c r="E150">
        <v>319.91000000000003</v>
      </c>
      <c r="F150" t="s">
        <v>2543</v>
      </c>
      <c r="G150" t="s">
        <v>3063</v>
      </c>
      <c r="H150">
        <v>3</v>
      </c>
      <c r="I150" t="s">
        <v>3070</v>
      </c>
      <c r="J150">
        <v>639.82000000000005</v>
      </c>
    </row>
    <row r="151" spans="1:10" x14ac:dyDescent="0.25">
      <c r="A151" t="s">
        <v>159</v>
      </c>
      <c r="B151" t="s">
        <v>1359</v>
      </c>
      <c r="C151" t="s">
        <v>2404</v>
      </c>
      <c r="D151">
        <v>1</v>
      </c>
      <c r="E151">
        <v>217.56</v>
      </c>
      <c r="F151" t="s">
        <v>2544</v>
      </c>
      <c r="G151" t="s">
        <v>3061</v>
      </c>
      <c r="H151">
        <v>3</v>
      </c>
      <c r="I151" t="s">
        <v>3069</v>
      </c>
      <c r="J151">
        <v>217.56</v>
      </c>
    </row>
    <row r="152" spans="1:10" x14ac:dyDescent="0.25">
      <c r="A152" t="s">
        <v>160</v>
      </c>
      <c r="B152" t="s">
        <v>1360</v>
      </c>
      <c r="C152" t="s">
        <v>2400</v>
      </c>
      <c r="D152">
        <v>2</v>
      </c>
      <c r="E152">
        <v>105.57</v>
      </c>
      <c r="F152" t="s">
        <v>2545</v>
      </c>
      <c r="G152" t="s">
        <v>3061</v>
      </c>
      <c r="H152">
        <v>5</v>
      </c>
      <c r="I152" t="s">
        <v>3070</v>
      </c>
      <c r="J152">
        <v>211.14</v>
      </c>
    </row>
    <row r="153" spans="1:10" x14ac:dyDescent="0.25">
      <c r="A153" t="s">
        <v>161</v>
      </c>
      <c r="B153" t="s">
        <v>1361</v>
      </c>
      <c r="C153" t="s">
        <v>2403</v>
      </c>
      <c r="D153">
        <v>5</v>
      </c>
      <c r="E153">
        <v>444.76</v>
      </c>
      <c r="F153" t="s">
        <v>2546</v>
      </c>
      <c r="G153" t="s">
        <v>3061</v>
      </c>
      <c r="H153">
        <v>7</v>
      </c>
      <c r="I153" t="s">
        <v>3068</v>
      </c>
      <c r="J153">
        <v>2223.8000000000002</v>
      </c>
    </row>
    <row r="154" spans="1:10" x14ac:dyDescent="0.25">
      <c r="A154" t="s">
        <v>162</v>
      </c>
      <c r="B154" t="s">
        <v>1362</v>
      </c>
      <c r="C154" t="s">
        <v>2402</v>
      </c>
      <c r="D154">
        <v>2</v>
      </c>
      <c r="E154">
        <v>399.04</v>
      </c>
      <c r="F154" t="s">
        <v>2547</v>
      </c>
      <c r="G154" t="s">
        <v>3065</v>
      </c>
      <c r="H154">
        <v>3</v>
      </c>
      <c r="I154" t="s">
        <v>3067</v>
      </c>
      <c r="J154">
        <v>798.08</v>
      </c>
    </row>
    <row r="155" spans="1:10" x14ac:dyDescent="0.25">
      <c r="A155" t="s">
        <v>163</v>
      </c>
      <c r="B155" t="s">
        <v>1363</v>
      </c>
      <c r="C155" t="s">
        <v>2402</v>
      </c>
      <c r="D155">
        <v>4</v>
      </c>
      <c r="E155">
        <v>534.48</v>
      </c>
      <c r="F155" t="s">
        <v>2548</v>
      </c>
      <c r="G155" t="s">
        <v>3062</v>
      </c>
      <c r="H155">
        <v>9</v>
      </c>
      <c r="I155" t="s">
        <v>3066</v>
      </c>
      <c r="J155">
        <v>2137.92</v>
      </c>
    </row>
    <row r="156" spans="1:10" x14ac:dyDescent="0.25">
      <c r="A156" t="s">
        <v>164</v>
      </c>
      <c r="B156" t="s">
        <v>1364</v>
      </c>
      <c r="C156" t="s">
        <v>2400</v>
      </c>
      <c r="D156">
        <v>4</v>
      </c>
      <c r="E156">
        <v>408.21</v>
      </c>
      <c r="F156" t="s">
        <v>2521</v>
      </c>
      <c r="G156" t="s">
        <v>3063</v>
      </c>
      <c r="H156">
        <v>9</v>
      </c>
      <c r="I156" t="s">
        <v>3066</v>
      </c>
      <c r="J156">
        <v>1632.84</v>
      </c>
    </row>
    <row r="157" spans="1:10" x14ac:dyDescent="0.25">
      <c r="A157" t="s">
        <v>165</v>
      </c>
      <c r="B157" t="s">
        <v>1365</v>
      </c>
      <c r="C157" t="s">
        <v>2400</v>
      </c>
      <c r="D157">
        <v>1</v>
      </c>
      <c r="E157">
        <v>424.4</v>
      </c>
      <c r="F157" t="s">
        <v>2453</v>
      </c>
      <c r="G157" t="s">
        <v>3062</v>
      </c>
      <c r="H157">
        <v>6</v>
      </c>
      <c r="I157" t="s">
        <v>3067</v>
      </c>
      <c r="J157">
        <v>424.4</v>
      </c>
    </row>
    <row r="158" spans="1:10" x14ac:dyDescent="0.25">
      <c r="A158" t="s">
        <v>166</v>
      </c>
      <c r="B158" t="s">
        <v>1366</v>
      </c>
      <c r="C158" t="s">
        <v>2402</v>
      </c>
      <c r="D158">
        <v>2</v>
      </c>
      <c r="E158">
        <v>269.83</v>
      </c>
      <c r="F158" t="s">
        <v>2549</v>
      </c>
      <c r="G158" t="s">
        <v>3062</v>
      </c>
      <c r="H158">
        <v>4</v>
      </c>
      <c r="I158" t="s">
        <v>3068</v>
      </c>
      <c r="J158">
        <v>539.66</v>
      </c>
    </row>
    <row r="159" spans="1:10" x14ac:dyDescent="0.25">
      <c r="A159" t="s">
        <v>167</v>
      </c>
      <c r="B159" t="s">
        <v>1367</v>
      </c>
      <c r="C159" t="s">
        <v>2399</v>
      </c>
      <c r="D159">
        <v>2</v>
      </c>
      <c r="E159">
        <v>564.58000000000004</v>
      </c>
      <c r="F159" t="s">
        <v>2531</v>
      </c>
      <c r="G159" t="s">
        <v>3062</v>
      </c>
      <c r="H159">
        <v>4</v>
      </c>
      <c r="I159" t="s">
        <v>3069</v>
      </c>
      <c r="J159">
        <v>1129.1600000000001</v>
      </c>
    </row>
    <row r="160" spans="1:10" x14ac:dyDescent="0.25">
      <c r="A160" t="s">
        <v>168</v>
      </c>
      <c r="B160" t="s">
        <v>1368</v>
      </c>
      <c r="C160" t="s">
        <v>2401</v>
      </c>
      <c r="D160">
        <v>1</v>
      </c>
      <c r="E160">
        <v>331.06</v>
      </c>
      <c r="F160" t="s">
        <v>2550</v>
      </c>
      <c r="G160" t="s">
        <v>3063</v>
      </c>
      <c r="H160">
        <v>5</v>
      </c>
      <c r="I160" t="s">
        <v>3066</v>
      </c>
      <c r="J160">
        <v>331.06</v>
      </c>
    </row>
    <row r="161" spans="1:10" x14ac:dyDescent="0.25">
      <c r="A161" t="s">
        <v>169</v>
      </c>
      <c r="B161" t="s">
        <v>1369</v>
      </c>
      <c r="C161" t="s">
        <v>2403</v>
      </c>
      <c r="D161">
        <v>1</v>
      </c>
      <c r="E161">
        <v>299.35000000000002</v>
      </c>
      <c r="F161" t="s">
        <v>2551</v>
      </c>
      <c r="G161" t="s">
        <v>3063</v>
      </c>
      <c r="H161">
        <v>5</v>
      </c>
      <c r="I161" t="s">
        <v>3068</v>
      </c>
      <c r="J161">
        <v>299.35000000000002</v>
      </c>
    </row>
    <row r="162" spans="1:10" x14ac:dyDescent="0.25">
      <c r="A162" t="s">
        <v>170</v>
      </c>
      <c r="B162" t="s">
        <v>1370</v>
      </c>
      <c r="C162" t="s">
        <v>2399</v>
      </c>
      <c r="D162">
        <v>4</v>
      </c>
      <c r="E162">
        <v>101.32</v>
      </c>
      <c r="F162" t="s">
        <v>2552</v>
      </c>
      <c r="G162" t="s">
        <v>3065</v>
      </c>
      <c r="H162">
        <v>7</v>
      </c>
      <c r="I162" t="s">
        <v>3067</v>
      </c>
      <c r="J162">
        <v>405.28</v>
      </c>
    </row>
    <row r="163" spans="1:10" x14ac:dyDescent="0.25">
      <c r="A163" t="s">
        <v>171</v>
      </c>
      <c r="B163" t="s">
        <v>1371</v>
      </c>
      <c r="C163" t="s">
        <v>2399</v>
      </c>
      <c r="D163">
        <v>1</v>
      </c>
      <c r="E163">
        <v>211.14</v>
      </c>
      <c r="F163" t="s">
        <v>2528</v>
      </c>
      <c r="G163" t="s">
        <v>3063</v>
      </c>
      <c r="H163">
        <v>1</v>
      </c>
      <c r="I163" t="s">
        <v>3069</v>
      </c>
      <c r="J163">
        <v>211.14</v>
      </c>
    </row>
    <row r="164" spans="1:10" x14ac:dyDescent="0.25">
      <c r="A164" t="s">
        <v>172</v>
      </c>
      <c r="B164" t="s">
        <v>1372</v>
      </c>
      <c r="C164" t="s">
        <v>2402</v>
      </c>
      <c r="D164">
        <v>3</v>
      </c>
      <c r="E164">
        <v>65.86</v>
      </c>
      <c r="F164" t="s">
        <v>2475</v>
      </c>
      <c r="G164" t="s">
        <v>3062</v>
      </c>
      <c r="H164">
        <v>8</v>
      </c>
      <c r="I164" t="s">
        <v>3070</v>
      </c>
      <c r="J164">
        <v>197.58</v>
      </c>
    </row>
    <row r="165" spans="1:10" x14ac:dyDescent="0.25">
      <c r="A165" t="s">
        <v>173</v>
      </c>
      <c r="B165" t="s">
        <v>1373</v>
      </c>
      <c r="C165" t="s">
        <v>2401</v>
      </c>
      <c r="D165">
        <v>1</v>
      </c>
      <c r="E165">
        <v>641.39</v>
      </c>
      <c r="F165" t="s">
        <v>2553</v>
      </c>
      <c r="G165" t="s">
        <v>3062</v>
      </c>
      <c r="H165">
        <v>1</v>
      </c>
      <c r="I165" t="s">
        <v>3067</v>
      </c>
      <c r="J165">
        <v>641.39</v>
      </c>
    </row>
    <row r="166" spans="1:10" x14ac:dyDescent="0.25">
      <c r="A166" t="s">
        <v>174</v>
      </c>
      <c r="B166" t="s">
        <v>1374</v>
      </c>
      <c r="C166" t="s">
        <v>2405</v>
      </c>
      <c r="D166">
        <v>5</v>
      </c>
      <c r="E166">
        <v>536.58000000000004</v>
      </c>
      <c r="F166" t="s">
        <v>2554</v>
      </c>
      <c r="G166" t="s">
        <v>3064</v>
      </c>
      <c r="H166">
        <v>5</v>
      </c>
      <c r="I166" t="s">
        <v>3070</v>
      </c>
      <c r="J166">
        <v>2682.9</v>
      </c>
    </row>
    <row r="167" spans="1:10" x14ac:dyDescent="0.25">
      <c r="A167" t="s">
        <v>175</v>
      </c>
      <c r="B167" t="s">
        <v>1375</v>
      </c>
      <c r="C167" t="s">
        <v>2399</v>
      </c>
      <c r="D167">
        <v>2</v>
      </c>
      <c r="E167">
        <v>500.29</v>
      </c>
      <c r="F167" t="s">
        <v>2555</v>
      </c>
      <c r="G167" t="s">
        <v>3062</v>
      </c>
      <c r="H167">
        <v>7</v>
      </c>
      <c r="I167" t="s">
        <v>3070</v>
      </c>
      <c r="J167">
        <v>1000.58</v>
      </c>
    </row>
    <row r="168" spans="1:10" x14ac:dyDescent="0.25">
      <c r="A168" t="s">
        <v>176</v>
      </c>
      <c r="B168" t="s">
        <v>1376</v>
      </c>
      <c r="C168" t="s">
        <v>2402</v>
      </c>
      <c r="D168">
        <v>3</v>
      </c>
      <c r="E168">
        <v>86.29</v>
      </c>
      <c r="F168" t="s">
        <v>2457</v>
      </c>
      <c r="G168" t="s">
        <v>3065</v>
      </c>
      <c r="H168">
        <v>6</v>
      </c>
      <c r="I168" t="s">
        <v>3066</v>
      </c>
      <c r="J168">
        <v>258.87</v>
      </c>
    </row>
    <row r="169" spans="1:10" x14ac:dyDescent="0.25">
      <c r="A169" t="s">
        <v>177</v>
      </c>
      <c r="B169" t="s">
        <v>1377</v>
      </c>
      <c r="C169" t="s">
        <v>2402</v>
      </c>
      <c r="D169">
        <v>2</v>
      </c>
      <c r="E169">
        <v>384.14</v>
      </c>
      <c r="F169" t="s">
        <v>2556</v>
      </c>
      <c r="G169" t="s">
        <v>3062</v>
      </c>
      <c r="H169">
        <v>2</v>
      </c>
      <c r="I169" t="s">
        <v>3068</v>
      </c>
      <c r="J169">
        <v>768.28</v>
      </c>
    </row>
    <row r="170" spans="1:10" x14ac:dyDescent="0.25">
      <c r="A170" t="s">
        <v>178</v>
      </c>
      <c r="B170" t="s">
        <v>1378</v>
      </c>
      <c r="C170" t="s">
        <v>2403</v>
      </c>
      <c r="D170">
        <v>1</v>
      </c>
      <c r="E170">
        <v>594.96</v>
      </c>
      <c r="F170" t="s">
        <v>2557</v>
      </c>
      <c r="G170" t="s">
        <v>3065</v>
      </c>
      <c r="H170">
        <v>6</v>
      </c>
      <c r="I170" t="s">
        <v>3069</v>
      </c>
      <c r="J170">
        <v>594.96</v>
      </c>
    </row>
    <row r="171" spans="1:10" x14ac:dyDescent="0.25">
      <c r="A171" t="s">
        <v>179</v>
      </c>
      <c r="B171" t="s">
        <v>1379</v>
      </c>
      <c r="C171" t="s">
        <v>2403</v>
      </c>
      <c r="D171">
        <v>1</v>
      </c>
      <c r="E171">
        <v>427.82</v>
      </c>
      <c r="F171" t="s">
        <v>2558</v>
      </c>
      <c r="G171" t="s">
        <v>3062</v>
      </c>
      <c r="H171">
        <v>2</v>
      </c>
      <c r="I171" t="s">
        <v>3068</v>
      </c>
      <c r="J171">
        <v>427.82</v>
      </c>
    </row>
    <row r="172" spans="1:10" x14ac:dyDescent="0.25">
      <c r="A172" t="s">
        <v>180</v>
      </c>
      <c r="B172" t="s">
        <v>1380</v>
      </c>
      <c r="C172" t="s">
        <v>2405</v>
      </c>
      <c r="D172">
        <v>4</v>
      </c>
      <c r="E172">
        <v>662.94</v>
      </c>
      <c r="F172" t="s">
        <v>2559</v>
      </c>
      <c r="G172" t="s">
        <v>3065</v>
      </c>
      <c r="H172">
        <v>8</v>
      </c>
      <c r="I172" t="s">
        <v>3066</v>
      </c>
      <c r="J172">
        <v>2651.76</v>
      </c>
    </row>
    <row r="173" spans="1:10" x14ac:dyDescent="0.25">
      <c r="A173" t="s">
        <v>181</v>
      </c>
      <c r="B173" t="s">
        <v>1381</v>
      </c>
      <c r="C173" t="s">
        <v>2401</v>
      </c>
      <c r="D173">
        <v>2</v>
      </c>
      <c r="E173">
        <v>148.22</v>
      </c>
      <c r="F173" t="s">
        <v>2560</v>
      </c>
      <c r="G173" t="s">
        <v>3063</v>
      </c>
      <c r="H173">
        <v>7</v>
      </c>
      <c r="I173" t="s">
        <v>3066</v>
      </c>
      <c r="J173">
        <v>296.44</v>
      </c>
    </row>
    <row r="174" spans="1:10" x14ac:dyDescent="0.25">
      <c r="A174" t="s">
        <v>182</v>
      </c>
      <c r="B174" t="s">
        <v>1382</v>
      </c>
      <c r="C174" t="s">
        <v>2403</v>
      </c>
      <c r="D174">
        <v>1</v>
      </c>
      <c r="E174">
        <v>254.12</v>
      </c>
      <c r="F174" t="s">
        <v>2525</v>
      </c>
      <c r="G174" t="s">
        <v>3062</v>
      </c>
      <c r="H174">
        <v>1</v>
      </c>
      <c r="I174" t="s">
        <v>3068</v>
      </c>
      <c r="J174">
        <v>254.12</v>
      </c>
    </row>
    <row r="175" spans="1:10" x14ac:dyDescent="0.25">
      <c r="A175" t="s">
        <v>183</v>
      </c>
      <c r="B175" t="s">
        <v>1383</v>
      </c>
      <c r="C175" t="s">
        <v>2400</v>
      </c>
      <c r="D175">
        <v>3</v>
      </c>
      <c r="E175">
        <v>664.46</v>
      </c>
      <c r="F175" t="s">
        <v>2561</v>
      </c>
      <c r="G175" t="s">
        <v>3062</v>
      </c>
      <c r="H175">
        <v>4</v>
      </c>
      <c r="I175" t="s">
        <v>3070</v>
      </c>
      <c r="J175">
        <v>1993.38</v>
      </c>
    </row>
    <row r="176" spans="1:10" x14ac:dyDescent="0.25">
      <c r="A176" t="s">
        <v>184</v>
      </c>
      <c r="B176" t="s">
        <v>1384</v>
      </c>
      <c r="C176" t="s">
        <v>2403</v>
      </c>
      <c r="D176">
        <v>4</v>
      </c>
      <c r="E176">
        <v>600.80999999999995</v>
      </c>
      <c r="F176" t="s">
        <v>2562</v>
      </c>
      <c r="G176" t="s">
        <v>3061</v>
      </c>
      <c r="H176">
        <v>9</v>
      </c>
      <c r="I176" t="s">
        <v>3068</v>
      </c>
      <c r="J176">
        <v>2403.2399999999998</v>
      </c>
    </row>
    <row r="177" spans="1:10" x14ac:dyDescent="0.25">
      <c r="A177" t="s">
        <v>185</v>
      </c>
      <c r="B177" t="s">
        <v>1385</v>
      </c>
      <c r="C177" t="s">
        <v>2402</v>
      </c>
      <c r="D177">
        <v>5</v>
      </c>
      <c r="E177">
        <v>68.34</v>
      </c>
      <c r="F177" t="s">
        <v>2563</v>
      </c>
      <c r="G177" t="s">
        <v>3061</v>
      </c>
      <c r="H177">
        <v>6</v>
      </c>
      <c r="I177" t="s">
        <v>3067</v>
      </c>
      <c r="J177">
        <v>341.7</v>
      </c>
    </row>
    <row r="178" spans="1:10" x14ac:dyDescent="0.25">
      <c r="A178" t="s">
        <v>186</v>
      </c>
      <c r="B178" t="s">
        <v>1386</v>
      </c>
      <c r="C178" t="s">
        <v>2401</v>
      </c>
      <c r="D178">
        <v>4</v>
      </c>
      <c r="E178">
        <v>430.83</v>
      </c>
      <c r="F178" t="s">
        <v>2564</v>
      </c>
      <c r="G178" t="s">
        <v>3064</v>
      </c>
      <c r="H178">
        <v>8</v>
      </c>
      <c r="I178" t="s">
        <v>3067</v>
      </c>
      <c r="J178">
        <v>1723.32</v>
      </c>
    </row>
    <row r="179" spans="1:10" x14ac:dyDescent="0.25">
      <c r="A179" t="s">
        <v>187</v>
      </c>
      <c r="B179" t="s">
        <v>1387</v>
      </c>
      <c r="C179" t="s">
        <v>2402</v>
      </c>
      <c r="D179">
        <v>5</v>
      </c>
      <c r="E179">
        <v>431.69</v>
      </c>
      <c r="F179" t="s">
        <v>2565</v>
      </c>
      <c r="G179" t="s">
        <v>3063</v>
      </c>
      <c r="H179">
        <v>10</v>
      </c>
      <c r="I179" t="s">
        <v>3069</v>
      </c>
      <c r="J179">
        <v>2158.4499999999998</v>
      </c>
    </row>
    <row r="180" spans="1:10" x14ac:dyDescent="0.25">
      <c r="A180" t="s">
        <v>188</v>
      </c>
      <c r="B180" t="s">
        <v>1388</v>
      </c>
      <c r="C180" t="s">
        <v>2402</v>
      </c>
      <c r="D180">
        <v>4</v>
      </c>
      <c r="E180">
        <v>512.05999999999995</v>
      </c>
      <c r="F180" t="s">
        <v>2566</v>
      </c>
      <c r="G180" t="s">
        <v>3062</v>
      </c>
      <c r="H180">
        <v>5</v>
      </c>
      <c r="I180" t="s">
        <v>3070</v>
      </c>
      <c r="J180">
        <v>2048.2399999999998</v>
      </c>
    </row>
    <row r="181" spans="1:10" x14ac:dyDescent="0.25">
      <c r="A181" t="s">
        <v>189</v>
      </c>
      <c r="B181" t="s">
        <v>1389</v>
      </c>
      <c r="C181" t="s">
        <v>2404</v>
      </c>
      <c r="D181">
        <v>3</v>
      </c>
      <c r="E181">
        <v>539.91</v>
      </c>
      <c r="F181" t="s">
        <v>2567</v>
      </c>
      <c r="G181" t="s">
        <v>3063</v>
      </c>
      <c r="H181">
        <v>8</v>
      </c>
      <c r="I181" t="s">
        <v>3068</v>
      </c>
      <c r="J181">
        <v>1619.73</v>
      </c>
    </row>
    <row r="182" spans="1:10" x14ac:dyDescent="0.25">
      <c r="A182" t="s">
        <v>190</v>
      </c>
      <c r="B182" t="s">
        <v>1390</v>
      </c>
      <c r="C182" t="s">
        <v>2401</v>
      </c>
      <c r="D182">
        <v>5</v>
      </c>
      <c r="E182">
        <v>316.07</v>
      </c>
      <c r="F182" t="s">
        <v>2568</v>
      </c>
      <c r="G182" t="s">
        <v>3065</v>
      </c>
      <c r="H182">
        <v>10</v>
      </c>
      <c r="I182" t="s">
        <v>3070</v>
      </c>
      <c r="J182">
        <v>1580.35</v>
      </c>
    </row>
    <row r="183" spans="1:10" x14ac:dyDescent="0.25">
      <c r="A183" t="s">
        <v>191</v>
      </c>
      <c r="B183" t="s">
        <v>1391</v>
      </c>
      <c r="C183" t="s">
        <v>2403</v>
      </c>
      <c r="D183">
        <v>5</v>
      </c>
      <c r="E183">
        <v>404.39</v>
      </c>
      <c r="F183" t="s">
        <v>2569</v>
      </c>
      <c r="G183" t="s">
        <v>3062</v>
      </c>
      <c r="H183">
        <v>10</v>
      </c>
      <c r="I183" t="s">
        <v>3067</v>
      </c>
      <c r="J183">
        <v>2021.95</v>
      </c>
    </row>
    <row r="184" spans="1:10" x14ac:dyDescent="0.25">
      <c r="A184" t="s">
        <v>192</v>
      </c>
      <c r="B184" t="s">
        <v>1392</v>
      </c>
      <c r="C184" t="s">
        <v>2405</v>
      </c>
      <c r="D184">
        <v>1</v>
      </c>
      <c r="E184">
        <v>600.54</v>
      </c>
      <c r="F184" t="s">
        <v>2570</v>
      </c>
      <c r="G184" t="s">
        <v>3061</v>
      </c>
      <c r="H184">
        <v>4</v>
      </c>
      <c r="I184" t="s">
        <v>3070</v>
      </c>
      <c r="J184">
        <v>600.54</v>
      </c>
    </row>
    <row r="185" spans="1:10" x14ac:dyDescent="0.25">
      <c r="A185" t="s">
        <v>193</v>
      </c>
      <c r="B185" t="s">
        <v>1393</v>
      </c>
      <c r="C185" t="s">
        <v>2399</v>
      </c>
      <c r="D185">
        <v>5</v>
      </c>
      <c r="E185">
        <v>186.28</v>
      </c>
      <c r="F185" t="s">
        <v>2571</v>
      </c>
      <c r="G185" t="s">
        <v>3061</v>
      </c>
      <c r="H185">
        <v>8</v>
      </c>
      <c r="I185" t="s">
        <v>3068</v>
      </c>
      <c r="J185">
        <v>931.4</v>
      </c>
    </row>
    <row r="186" spans="1:10" x14ac:dyDescent="0.25">
      <c r="A186" t="s">
        <v>194</v>
      </c>
      <c r="B186" t="s">
        <v>1394</v>
      </c>
      <c r="C186" t="s">
        <v>2401</v>
      </c>
      <c r="D186">
        <v>4</v>
      </c>
      <c r="E186">
        <v>214.54</v>
      </c>
      <c r="F186" t="s">
        <v>2572</v>
      </c>
      <c r="G186" t="s">
        <v>3064</v>
      </c>
      <c r="H186">
        <v>7</v>
      </c>
      <c r="I186" t="s">
        <v>3067</v>
      </c>
      <c r="J186">
        <v>858.16</v>
      </c>
    </row>
    <row r="187" spans="1:10" x14ac:dyDescent="0.25">
      <c r="A187" t="s">
        <v>195</v>
      </c>
      <c r="B187" t="s">
        <v>1395</v>
      </c>
      <c r="C187" t="s">
        <v>2404</v>
      </c>
      <c r="D187">
        <v>1</v>
      </c>
      <c r="E187">
        <v>210.7</v>
      </c>
      <c r="F187" t="s">
        <v>2573</v>
      </c>
      <c r="G187" t="s">
        <v>3062</v>
      </c>
      <c r="H187">
        <v>2</v>
      </c>
      <c r="I187" t="s">
        <v>3067</v>
      </c>
      <c r="J187">
        <v>210.7</v>
      </c>
    </row>
    <row r="188" spans="1:10" x14ac:dyDescent="0.25">
      <c r="A188" t="s">
        <v>196</v>
      </c>
      <c r="B188" t="s">
        <v>1396</v>
      </c>
      <c r="C188" t="s">
        <v>2400</v>
      </c>
      <c r="D188">
        <v>2</v>
      </c>
      <c r="E188">
        <v>133.55000000000001</v>
      </c>
      <c r="F188" t="s">
        <v>2574</v>
      </c>
      <c r="G188" t="s">
        <v>3065</v>
      </c>
      <c r="H188">
        <v>7</v>
      </c>
      <c r="I188" t="s">
        <v>3069</v>
      </c>
      <c r="J188">
        <v>267.10000000000002</v>
      </c>
    </row>
    <row r="189" spans="1:10" x14ac:dyDescent="0.25">
      <c r="A189" t="s">
        <v>197</v>
      </c>
      <c r="B189" t="s">
        <v>1397</v>
      </c>
      <c r="C189" t="s">
        <v>2402</v>
      </c>
      <c r="D189">
        <v>1</v>
      </c>
      <c r="E189">
        <v>590.87</v>
      </c>
      <c r="F189" t="s">
        <v>2575</v>
      </c>
      <c r="G189" t="s">
        <v>3064</v>
      </c>
      <c r="H189">
        <v>6</v>
      </c>
      <c r="I189" t="s">
        <v>3067</v>
      </c>
      <c r="J189">
        <v>590.87</v>
      </c>
    </row>
    <row r="190" spans="1:10" x14ac:dyDescent="0.25">
      <c r="A190" t="s">
        <v>198</v>
      </c>
      <c r="B190" t="s">
        <v>1398</v>
      </c>
      <c r="C190" t="s">
        <v>2402</v>
      </c>
      <c r="D190">
        <v>2</v>
      </c>
      <c r="E190">
        <v>363.91</v>
      </c>
      <c r="F190" t="s">
        <v>2576</v>
      </c>
      <c r="G190" t="s">
        <v>3064</v>
      </c>
      <c r="H190">
        <v>2</v>
      </c>
      <c r="I190" t="s">
        <v>3067</v>
      </c>
      <c r="J190">
        <v>727.82</v>
      </c>
    </row>
    <row r="191" spans="1:10" x14ac:dyDescent="0.25">
      <c r="A191" t="s">
        <v>199</v>
      </c>
      <c r="B191" t="s">
        <v>1399</v>
      </c>
      <c r="C191" t="s">
        <v>2403</v>
      </c>
      <c r="D191">
        <v>5</v>
      </c>
      <c r="E191">
        <v>429.45</v>
      </c>
      <c r="F191" t="s">
        <v>2577</v>
      </c>
      <c r="G191" t="s">
        <v>3064</v>
      </c>
      <c r="H191">
        <v>5</v>
      </c>
      <c r="I191" t="s">
        <v>3068</v>
      </c>
      <c r="J191">
        <v>2147.25</v>
      </c>
    </row>
    <row r="192" spans="1:10" x14ac:dyDescent="0.25">
      <c r="A192" t="s">
        <v>200</v>
      </c>
      <c r="B192" t="s">
        <v>1400</v>
      </c>
      <c r="C192" t="s">
        <v>2403</v>
      </c>
      <c r="D192">
        <v>3</v>
      </c>
      <c r="E192">
        <v>223.7</v>
      </c>
      <c r="F192" t="s">
        <v>2578</v>
      </c>
      <c r="G192" t="s">
        <v>3065</v>
      </c>
      <c r="H192">
        <v>3</v>
      </c>
      <c r="I192" t="s">
        <v>3068</v>
      </c>
      <c r="J192">
        <v>671.09999999999991</v>
      </c>
    </row>
    <row r="193" spans="1:10" x14ac:dyDescent="0.25">
      <c r="A193" t="s">
        <v>201</v>
      </c>
      <c r="B193" t="s">
        <v>1401</v>
      </c>
      <c r="C193" t="s">
        <v>2404</v>
      </c>
      <c r="D193">
        <v>2</v>
      </c>
      <c r="E193">
        <v>488.87</v>
      </c>
      <c r="F193" t="s">
        <v>2579</v>
      </c>
      <c r="G193" t="s">
        <v>3062</v>
      </c>
      <c r="H193">
        <v>4</v>
      </c>
      <c r="I193" t="s">
        <v>3070</v>
      </c>
      <c r="J193">
        <v>977.74</v>
      </c>
    </row>
    <row r="194" spans="1:10" x14ac:dyDescent="0.25">
      <c r="A194" t="s">
        <v>202</v>
      </c>
      <c r="B194" t="s">
        <v>1402</v>
      </c>
      <c r="C194" t="s">
        <v>2405</v>
      </c>
      <c r="D194">
        <v>1</v>
      </c>
      <c r="E194">
        <v>645.46</v>
      </c>
      <c r="F194" t="s">
        <v>2537</v>
      </c>
      <c r="G194" t="s">
        <v>3064</v>
      </c>
      <c r="H194">
        <v>5</v>
      </c>
      <c r="I194" t="s">
        <v>3070</v>
      </c>
      <c r="J194">
        <v>645.46</v>
      </c>
    </row>
    <row r="195" spans="1:10" x14ac:dyDescent="0.25">
      <c r="A195" t="s">
        <v>203</v>
      </c>
      <c r="B195" t="s">
        <v>1403</v>
      </c>
      <c r="C195" t="s">
        <v>2403</v>
      </c>
      <c r="D195">
        <v>1</v>
      </c>
      <c r="E195">
        <v>46.66</v>
      </c>
      <c r="F195" t="s">
        <v>2580</v>
      </c>
      <c r="G195" t="s">
        <v>3065</v>
      </c>
      <c r="H195">
        <v>6</v>
      </c>
      <c r="I195" t="s">
        <v>3070</v>
      </c>
      <c r="J195">
        <v>46.66</v>
      </c>
    </row>
    <row r="196" spans="1:10" x14ac:dyDescent="0.25">
      <c r="A196" t="s">
        <v>204</v>
      </c>
      <c r="B196" t="s">
        <v>1404</v>
      </c>
      <c r="C196" t="s">
        <v>2399</v>
      </c>
      <c r="D196">
        <v>1</v>
      </c>
      <c r="E196">
        <v>249.57</v>
      </c>
      <c r="F196" t="s">
        <v>2581</v>
      </c>
      <c r="G196" t="s">
        <v>3065</v>
      </c>
      <c r="H196">
        <v>3</v>
      </c>
      <c r="I196" t="s">
        <v>3070</v>
      </c>
      <c r="J196">
        <v>249.57</v>
      </c>
    </row>
    <row r="197" spans="1:10" x14ac:dyDescent="0.25">
      <c r="A197" t="s">
        <v>205</v>
      </c>
      <c r="B197" t="s">
        <v>1405</v>
      </c>
      <c r="C197" t="s">
        <v>2402</v>
      </c>
      <c r="D197">
        <v>3</v>
      </c>
      <c r="E197">
        <v>619.21</v>
      </c>
      <c r="F197" t="s">
        <v>2582</v>
      </c>
      <c r="G197" t="s">
        <v>3061</v>
      </c>
      <c r="H197">
        <v>6</v>
      </c>
      <c r="I197" t="s">
        <v>3068</v>
      </c>
      <c r="J197">
        <v>1857.63</v>
      </c>
    </row>
    <row r="198" spans="1:10" x14ac:dyDescent="0.25">
      <c r="A198" t="s">
        <v>206</v>
      </c>
      <c r="B198" t="s">
        <v>1406</v>
      </c>
      <c r="C198" t="s">
        <v>2405</v>
      </c>
      <c r="D198">
        <v>4</v>
      </c>
      <c r="E198">
        <v>217.13</v>
      </c>
      <c r="F198" t="s">
        <v>2583</v>
      </c>
      <c r="G198" t="s">
        <v>3065</v>
      </c>
      <c r="H198">
        <v>8</v>
      </c>
      <c r="I198" t="s">
        <v>3068</v>
      </c>
      <c r="J198">
        <v>868.52</v>
      </c>
    </row>
    <row r="199" spans="1:10" x14ac:dyDescent="0.25">
      <c r="A199" t="s">
        <v>207</v>
      </c>
      <c r="B199" t="s">
        <v>1407</v>
      </c>
      <c r="C199" t="s">
        <v>2404</v>
      </c>
      <c r="D199">
        <v>5</v>
      </c>
      <c r="E199">
        <v>221.51</v>
      </c>
      <c r="F199" t="s">
        <v>2584</v>
      </c>
      <c r="G199" t="s">
        <v>3065</v>
      </c>
      <c r="H199">
        <v>5</v>
      </c>
      <c r="I199" t="s">
        <v>3067</v>
      </c>
      <c r="J199">
        <v>1107.55</v>
      </c>
    </row>
    <row r="200" spans="1:10" x14ac:dyDescent="0.25">
      <c r="A200" t="s">
        <v>208</v>
      </c>
      <c r="B200" t="s">
        <v>1408</v>
      </c>
      <c r="C200" t="s">
        <v>2404</v>
      </c>
      <c r="D200">
        <v>4</v>
      </c>
      <c r="E200">
        <v>340.3</v>
      </c>
      <c r="F200" t="s">
        <v>2440</v>
      </c>
      <c r="G200" t="s">
        <v>3065</v>
      </c>
      <c r="H200">
        <v>8</v>
      </c>
      <c r="I200" t="s">
        <v>3067</v>
      </c>
      <c r="J200">
        <v>1361.2</v>
      </c>
    </row>
    <row r="201" spans="1:10" x14ac:dyDescent="0.25">
      <c r="A201" t="s">
        <v>209</v>
      </c>
      <c r="B201" t="s">
        <v>1409</v>
      </c>
      <c r="C201" t="s">
        <v>2400</v>
      </c>
      <c r="D201">
        <v>1</v>
      </c>
      <c r="E201">
        <v>625</v>
      </c>
      <c r="F201" t="s">
        <v>2585</v>
      </c>
      <c r="G201" t="s">
        <v>3062</v>
      </c>
      <c r="H201">
        <v>5</v>
      </c>
      <c r="I201" t="s">
        <v>3070</v>
      </c>
      <c r="J201">
        <v>625</v>
      </c>
    </row>
    <row r="202" spans="1:10" x14ac:dyDescent="0.25">
      <c r="A202" t="s">
        <v>210</v>
      </c>
      <c r="B202" t="s">
        <v>1410</v>
      </c>
      <c r="C202" t="s">
        <v>2401</v>
      </c>
      <c r="D202">
        <v>5</v>
      </c>
      <c r="E202">
        <v>433.26</v>
      </c>
      <c r="F202" t="s">
        <v>2436</v>
      </c>
      <c r="G202" t="s">
        <v>3063</v>
      </c>
      <c r="H202">
        <v>9</v>
      </c>
      <c r="I202" t="s">
        <v>3070</v>
      </c>
      <c r="J202">
        <v>2166.3000000000002</v>
      </c>
    </row>
    <row r="203" spans="1:10" x14ac:dyDescent="0.25">
      <c r="A203" t="s">
        <v>211</v>
      </c>
      <c r="B203" t="s">
        <v>1411</v>
      </c>
      <c r="C203" t="s">
        <v>2399</v>
      </c>
      <c r="D203">
        <v>2</v>
      </c>
      <c r="E203">
        <v>674.9</v>
      </c>
      <c r="F203" t="s">
        <v>2478</v>
      </c>
      <c r="G203" t="s">
        <v>3062</v>
      </c>
      <c r="H203">
        <v>4</v>
      </c>
      <c r="I203" t="s">
        <v>3069</v>
      </c>
      <c r="J203">
        <v>1349.8</v>
      </c>
    </row>
    <row r="204" spans="1:10" x14ac:dyDescent="0.25">
      <c r="A204" t="s">
        <v>212</v>
      </c>
      <c r="B204" t="s">
        <v>1412</v>
      </c>
      <c r="C204" t="s">
        <v>2399</v>
      </c>
      <c r="D204">
        <v>3</v>
      </c>
      <c r="E204">
        <v>253.98</v>
      </c>
      <c r="F204" t="s">
        <v>2531</v>
      </c>
      <c r="G204" t="s">
        <v>3063</v>
      </c>
      <c r="H204">
        <v>3</v>
      </c>
      <c r="I204" t="s">
        <v>3068</v>
      </c>
      <c r="J204">
        <v>761.93999999999994</v>
      </c>
    </row>
    <row r="205" spans="1:10" x14ac:dyDescent="0.25">
      <c r="A205" t="s">
        <v>213</v>
      </c>
      <c r="B205" t="s">
        <v>1413</v>
      </c>
      <c r="C205" t="s">
        <v>2403</v>
      </c>
      <c r="D205">
        <v>3</v>
      </c>
      <c r="E205">
        <v>356.84</v>
      </c>
      <c r="F205" t="s">
        <v>2586</v>
      </c>
      <c r="G205" t="s">
        <v>3062</v>
      </c>
      <c r="H205">
        <v>5</v>
      </c>
      <c r="I205" t="s">
        <v>3066</v>
      </c>
      <c r="J205">
        <v>1070.52</v>
      </c>
    </row>
    <row r="206" spans="1:10" x14ac:dyDescent="0.25">
      <c r="A206" t="s">
        <v>214</v>
      </c>
      <c r="B206" t="s">
        <v>1414</v>
      </c>
      <c r="C206" t="s">
        <v>2404</v>
      </c>
      <c r="D206">
        <v>4</v>
      </c>
      <c r="E206">
        <v>413.71</v>
      </c>
      <c r="F206" t="s">
        <v>2535</v>
      </c>
      <c r="G206" t="s">
        <v>3064</v>
      </c>
      <c r="H206">
        <v>9</v>
      </c>
      <c r="I206" t="s">
        <v>3069</v>
      </c>
      <c r="J206">
        <v>1654.84</v>
      </c>
    </row>
    <row r="207" spans="1:10" x14ac:dyDescent="0.25">
      <c r="A207" t="s">
        <v>215</v>
      </c>
      <c r="B207" t="s">
        <v>1415</v>
      </c>
      <c r="C207" t="s">
        <v>2405</v>
      </c>
      <c r="D207">
        <v>3</v>
      </c>
      <c r="E207">
        <v>147.38999999999999</v>
      </c>
      <c r="F207" t="s">
        <v>2587</v>
      </c>
      <c r="G207" t="s">
        <v>3061</v>
      </c>
      <c r="H207">
        <v>3</v>
      </c>
      <c r="I207" t="s">
        <v>3068</v>
      </c>
      <c r="J207">
        <v>442.17</v>
      </c>
    </row>
    <row r="208" spans="1:10" x14ac:dyDescent="0.25">
      <c r="A208" t="s">
        <v>216</v>
      </c>
      <c r="B208" t="s">
        <v>1416</v>
      </c>
      <c r="C208" t="s">
        <v>2404</v>
      </c>
      <c r="D208">
        <v>4</v>
      </c>
      <c r="E208">
        <v>229.1</v>
      </c>
      <c r="F208" t="s">
        <v>2588</v>
      </c>
      <c r="G208" t="s">
        <v>3064</v>
      </c>
      <c r="H208">
        <v>8</v>
      </c>
      <c r="I208" t="s">
        <v>3068</v>
      </c>
      <c r="J208">
        <v>916.4</v>
      </c>
    </row>
    <row r="209" spans="1:10" x14ac:dyDescent="0.25">
      <c r="A209" t="s">
        <v>217</v>
      </c>
      <c r="B209" t="s">
        <v>1417</v>
      </c>
      <c r="C209" t="s">
        <v>2400</v>
      </c>
      <c r="D209">
        <v>1</v>
      </c>
      <c r="E209">
        <v>121.96</v>
      </c>
      <c r="F209" t="s">
        <v>2589</v>
      </c>
      <c r="G209" t="s">
        <v>3061</v>
      </c>
      <c r="H209">
        <v>3</v>
      </c>
      <c r="I209" t="s">
        <v>3070</v>
      </c>
      <c r="J209">
        <v>121.96</v>
      </c>
    </row>
    <row r="210" spans="1:10" x14ac:dyDescent="0.25">
      <c r="A210" t="s">
        <v>218</v>
      </c>
      <c r="B210" t="s">
        <v>1418</v>
      </c>
      <c r="C210" t="s">
        <v>2405</v>
      </c>
      <c r="D210">
        <v>2</v>
      </c>
      <c r="E210">
        <v>408.32</v>
      </c>
      <c r="F210" t="s">
        <v>2577</v>
      </c>
      <c r="G210" t="s">
        <v>3062</v>
      </c>
      <c r="H210">
        <v>3</v>
      </c>
      <c r="I210" t="s">
        <v>3069</v>
      </c>
      <c r="J210">
        <v>816.64</v>
      </c>
    </row>
    <row r="211" spans="1:10" x14ac:dyDescent="0.25">
      <c r="A211" t="s">
        <v>219</v>
      </c>
      <c r="B211" t="s">
        <v>1419</v>
      </c>
      <c r="C211" t="s">
        <v>2401</v>
      </c>
      <c r="D211">
        <v>5</v>
      </c>
      <c r="E211">
        <v>187.97</v>
      </c>
      <c r="F211" t="s">
        <v>2413</v>
      </c>
      <c r="G211" t="s">
        <v>3065</v>
      </c>
      <c r="H211">
        <v>9</v>
      </c>
      <c r="I211" t="s">
        <v>3070</v>
      </c>
      <c r="J211">
        <v>939.85</v>
      </c>
    </row>
    <row r="212" spans="1:10" x14ac:dyDescent="0.25">
      <c r="A212" t="s">
        <v>220</v>
      </c>
      <c r="B212" t="s">
        <v>1420</v>
      </c>
      <c r="C212" t="s">
        <v>2402</v>
      </c>
      <c r="D212">
        <v>3</v>
      </c>
      <c r="E212">
        <v>358.48</v>
      </c>
      <c r="F212" t="s">
        <v>2528</v>
      </c>
      <c r="G212" t="s">
        <v>3064</v>
      </c>
      <c r="H212">
        <v>7</v>
      </c>
      <c r="I212" t="s">
        <v>3069</v>
      </c>
      <c r="J212">
        <v>1075.44</v>
      </c>
    </row>
    <row r="213" spans="1:10" x14ac:dyDescent="0.25">
      <c r="A213" t="s">
        <v>221</v>
      </c>
      <c r="B213" t="s">
        <v>1421</v>
      </c>
      <c r="C213" t="s">
        <v>2403</v>
      </c>
      <c r="D213">
        <v>3</v>
      </c>
      <c r="E213">
        <v>193.58</v>
      </c>
      <c r="F213" t="s">
        <v>2590</v>
      </c>
      <c r="G213" t="s">
        <v>3064</v>
      </c>
      <c r="H213">
        <v>7</v>
      </c>
      <c r="I213" t="s">
        <v>3068</v>
      </c>
      <c r="J213">
        <v>580.74</v>
      </c>
    </row>
    <row r="214" spans="1:10" x14ac:dyDescent="0.25">
      <c r="A214" t="s">
        <v>222</v>
      </c>
      <c r="B214" t="s">
        <v>1422</v>
      </c>
      <c r="C214" t="s">
        <v>2399</v>
      </c>
      <c r="D214">
        <v>1</v>
      </c>
      <c r="E214">
        <v>265.38</v>
      </c>
      <c r="F214" t="s">
        <v>2591</v>
      </c>
      <c r="G214" t="s">
        <v>3063</v>
      </c>
      <c r="H214">
        <v>6</v>
      </c>
      <c r="I214" t="s">
        <v>3068</v>
      </c>
      <c r="J214">
        <v>265.38</v>
      </c>
    </row>
    <row r="215" spans="1:10" x14ac:dyDescent="0.25">
      <c r="A215" t="s">
        <v>223</v>
      </c>
      <c r="B215" t="s">
        <v>1423</v>
      </c>
      <c r="C215" t="s">
        <v>2404</v>
      </c>
      <c r="D215">
        <v>1</v>
      </c>
      <c r="E215">
        <v>634.4</v>
      </c>
      <c r="F215" t="s">
        <v>2592</v>
      </c>
      <c r="G215" t="s">
        <v>3065</v>
      </c>
      <c r="H215">
        <v>6</v>
      </c>
      <c r="I215" t="s">
        <v>3068</v>
      </c>
      <c r="J215">
        <v>634.4</v>
      </c>
    </row>
    <row r="216" spans="1:10" x14ac:dyDescent="0.25">
      <c r="A216" t="s">
        <v>224</v>
      </c>
      <c r="B216" t="s">
        <v>1424</v>
      </c>
      <c r="C216" t="s">
        <v>2405</v>
      </c>
      <c r="D216">
        <v>4</v>
      </c>
      <c r="E216">
        <v>305.72000000000003</v>
      </c>
      <c r="F216" t="s">
        <v>2519</v>
      </c>
      <c r="G216" t="s">
        <v>3062</v>
      </c>
      <c r="H216">
        <v>5</v>
      </c>
      <c r="I216" t="s">
        <v>3069</v>
      </c>
      <c r="J216">
        <v>1222.8800000000001</v>
      </c>
    </row>
    <row r="217" spans="1:10" x14ac:dyDescent="0.25">
      <c r="A217" t="s">
        <v>225</v>
      </c>
      <c r="B217" t="s">
        <v>1425</v>
      </c>
      <c r="C217" t="s">
        <v>2403</v>
      </c>
      <c r="D217">
        <v>1</v>
      </c>
      <c r="E217">
        <v>303.60000000000002</v>
      </c>
      <c r="F217" t="s">
        <v>2593</v>
      </c>
      <c r="G217" t="s">
        <v>3065</v>
      </c>
      <c r="H217">
        <v>5</v>
      </c>
      <c r="I217" t="s">
        <v>3069</v>
      </c>
      <c r="J217">
        <v>303.60000000000002</v>
      </c>
    </row>
    <row r="218" spans="1:10" x14ac:dyDescent="0.25">
      <c r="A218" t="s">
        <v>226</v>
      </c>
      <c r="B218" t="s">
        <v>1426</v>
      </c>
      <c r="C218" t="s">
        <v>2399</v>
      </c>
      <c r="D218">
        <v>4</v>
      </c>
      <c r="E218">
        <v>496</v>
      </c>
      <c r="F218" t="s">
        <v>2461</v>
      </c>
      <c r="G218" t="s">
        <v>3062</v>
      </c>
      <c r="H218">
        <v>8</v>
      </c>
      <c r="I218" t="s">
        <v>3070</v>
      </c>
      <c r="J218">
        <v>1984</v>
      </c>
    </row>
    <row r="219" spans="1:10" x14ac:dyDescent="0.25">
      <c r="A219" t="s">
        <v>227</v>
      </c>
      <c r="B219" t="s">
        <v>1427</v>
      </c>
      <c r="C219" t="s">
        <v>2405</v>
      </c>
      <c r="D219">
        <v>4</v>
      </c>
      <c r="E219">
        <v>321.51</v>
      </c>
      <c r="F219" t="s">
        <v>2594</v>
      </c>
      <c r="G219" t="s">
        <v>3065</v>
      </c>
      <c r="H219">
        <v>9</v>
      </c>
      <c r="I219" t="s">
        <v>3070</v>
      </c>
      <c r="J219">
        <v>1286.04</v>
      </c>
    </row>
    <row r="220" spans="1:10" x14ac:dyDescent="0.25">
      <c r="A220" t="s">
        <v>228</v>
      </c>
      <c r="B220" t="s">
        <v>1428</v>
      </c>
      <c r="C220" t="s">
        <v>2401</v>
      </c>
      <c r="D220">
        <v>3</v>
      </c>
      <c r="E220">
        <v>112.46</v>
      </c>
      <c r="F220" t="s">
        <v>2595</v>
      </c>
      <c r="G220" t="s">
        <v>3064</v>
      </c>
      <c r="H220">
        <v>6</v>
      </c>
      <c r="I220" t="s">
        <v>3066</v>
      </c>
      <c r="J220">
        <v>337.38</v>
      </c>
    </row>
    <row r="221" spans="1:10" x14ac:dyDescent="0.25">
      <c r="A221" t="s">
        <v>229</v>
      </c>
      <c r="B221" t="s">
        <v>1429</v>
      </c>
      <c r="C221" t="s">
        <v>2404</v>
      </c>
      <c r="D221">
        <v>5</v>
      </c>
      <c r="E221">
        <v>61.97</v>
      </c>
      <c r="F221" t="s">
        <v>2596</v>
      </c>
      <c r="G221" t="s">
        <v>3065</v>
      </c>
      <c r="H221">
        <v>6</v>
      </c>
      <c r="I221" t="s">
        <v>3068</v>
      </c>
      <c r="J221">
        <v>309.85000000000002</v>
      </c>
    </row>
    <row r="222" spans="1:10" x14ac:dyDescent="0.25">
      <c r="A222" t="s">
        <v>230</v>
      </c>
      <c r="B222" t="s">
        <v>1430</v>
      </c>
      <c r="C222" t="s">
        <v>2404</v>
      </c>
      <c r="D222">
        <v>2</v>
      </c>
      <c r="E222">
        <v>373.17</v>
      </c>
      <c r="F222" t="s">
        <v>2597</v>
      </c>
      <c r="G222" t="s">
        <v>3063</v>
      </c>
      <c r="H222">
        <v>6</v>
      </c>
      <c r="I222" t="s">
        <v>3067</v>
      </c>
      <c r="J222">
        <v>746.34</v>
      </c>
    </row>
    <row r="223" spans="1:10" x14ac:dyDescent="0.25">
      <c r="A223" t="s">
        <v>231</v>
      </c>
      <c r="B223" t="s">
        <v>1431</v>
      </c>
      <c r="C223" t="s">
        <v>2401</v>
      </c>
      <c r="D223">
        <v>5</v>
      </c>
      <c r="E223">
        <v>639.37</v>
      </c>
      <c r="F223" t="s">
        <v>2470</v>
      </c>
      <c r="G223" t="s">
        <v>3061</v>
      </c>
      <c r="H223">
        <v>6</v>
      </c>
      <c r="I223" t="s">
        <v>3070</v>
      </c>
      <c r="J223">
        <v>3196.85</v>
      </c>
    </row>
    <row r="224" spans="1:10" x14ac:dyDescent="0.25">
      <c r="A224" t="s">
        <v>232</v>
      </c>
      <c r="B224" t="s">
        <v>1432</v>
      </c>
      <c r="C224" t="s">
        <v>2402</v>
      </c>
      <c r="D224">
        <v>4</v>
      </c>
      <c r="E224">
        <v>693.36</v>
      </c>
      <c r="F224" t="s">
        <v>2598</v>
      </c>
      <c r="G224" t="s">
        <v>3062</v>
      </c>
      <c r="H224">
        <v>8</v>
      </c>
      <c r="I224" t="s">
        <v>3066</v>
      </c>
      <c r="J224">
        <v>2773.44</v>
      </c>
    </row>
    <row r="225" spans="1:10" x14ac:dyDescent="0.25">
      <c r="A225" t="s">
        <v>233</v>
      </c>
      <c r="B225" t="s">
        <v>1433</v>
      </c>
      <c r="C225" t="s">
        <v>2400</v>
      </c>
      <c r="D225">
        <v>4</v>
      </c>
      <c r="E225">
        <v>692.91</v>
      </c>
      <c r="F225" t="s">
        <v>2519</v>
      </c>
      <c r="G225" t="s">
        <v>3063</v>
      </c>
      <c r="H225">
        <v>9</v>
      </c>
      <c r="I225" t="s">
        <v>3066</v>
      </c>
      <c r="J225">
        <v>2771.64</v>
      </c>
    </row>
    <row r="226" spans="1:10" x14ac:dyDescent="0.25">
      <c r="A226" t="s">
        <v>234</v>
      </c>
      <c r="B226" t="s">
        <v>1434</v>
      </c>
      <c r="C226" t="s">
        <v>2403</v>
      </c>
      <c r="D226">
        <v>4</v>
      </c>
      <c r="E226">
        <v>91.46</v>
      </c>
      <c r="F226" t="s">
        <v>2599</v>
      </c>
      <c r="G226" t="s">
        <v>3065</v>
      </c>
      <c r="H226">
        <v>9</v>
      </c>
      <c r="I226" t="s">
        <v>3067</v>
      </c>
      <c r="J226">
        <v>365.84</v>
      </c>
    </row>
    <row r="227" spans="1:10" x14ac:dyDescent="0.25">
      <c r="A227" t="s">
        <v>235</v>
      </c>
      <c r="B227" t="s">
        <v>1435</v>
      </c>
      <c r="C227" t="s">
        <v>2400</v>
      </c>
      <c r="D227">
        <v>3</v>
      </c>
      <c r="E227">
        <v>273.95999999999998</v>
      </c>
      <c r="F227" t="s">
        <v>2600</v>
      </c>
      <c r="G227" t="s">
        <v>3061</v>
      </c>
      <c r="H227">
        <v>8</v>
      </c>
      <c r="I227" t="s">
        <v>3070</v>
      </c>
      <c r="J227">
        <v>821.87999999999988</v>
      </c>
    </row>
    <row r="228" spans="1:10" x14ac:dyDescent="0.25">
      <c r="A228" t="s">
        <v>236</v>
      </c>
      <c r="B228" t="s">
        <v>1436</v>
      </c>
      <c r="C228" t="s">
        <v>2405</v>
      </c>
      <c r="D228">
        <v>3</v>
      </c>
      <c r="E228">
        <v>588.04999999999995</v>
      </c>
      <c r="F228" t="s">
        <v>2601</v>
      </c>
      <c r="G228" t="s">
        <v>3064</v>
      </c>
      <c r="H228">
        <v>8</v>
      </c>
      <c r="I228" t="s">
        <v>3066</v>
      </c>
      <c r="J228">
        <v>1764.15</v>
      </c>
    </row>
    <row r="229" spans="1:10" x14ac:dyDescent="0.25">
      <c r="A229" t="s">
        <v>237</v>
      </c>
      <c r="B229" t="s">
        <v>1437</v>
      </c>
      <c r="C229" t="s">
        <v>2399</v>
      </c>
      <c r="D229">
        <v>2</v>
      </c>
      <c r="E229">
        <v>365.17</v>
      </c>
      <c r="F229" t="s">
        <v>2524</v>
      </c>
      <c r="G229" t="s">
        <v>3062</v>
      </c>
      <c r="H229">
        <v>4</v>
      </c>
      <c r="I229" t="s">
        <v>3069</v>
      </c>
      <c r="J229">
        <v>730.34</v>
      </c>
    </row>
    <row r="230" spans="1:10" x14ac:dyDescent="0.25">
      <c r="A230" t="s">
        <v>238</v>
      </c>
      <c r="B230" t="s">
        <v>1438</v>
      </c>
      <c r="C230" t="s">
        <v>2402</v>
      </c>
      <c r="D230">
        <v>4</v>
      </c>
      <c r="E230">
        <v>385.92</v>
      </c>
      <c r="F230" t="s">
        <v>2602</v>
      </c>
      <c r="G230" t="s">
        <v>3063</v>
      </c>
      <c r="H230">
        <v>8</v>
      </c>
      <c r="I230" t="s">
        <v>3066</v>
      </c>
      <c r="J230">
        <v>1543.68</v>
      </c>
    </row>
    <row r="231" spans="1:10" x14ac:dyDescent="0.25">
      <c r="A231" t="s">
        <v>239</v>
      </c>
      <c r="B231" t="s">
        <v>1439</v>
      </c>
      <c r="C231" t="s">
        <v>2401</v>
      </c>
      <c r="D231">
        <v>1</v>
      </c>
      <c r="E231">
        <v>562.61</v>
      </c>
      <c r="F231" t="s">
        <v>2603</v>
      </c>
      <c r="G231" t="s">
        <v>3063</v>
      </c>
      <c r="H231">
        <v>3</v>
      </c>
      <c r="I231" t="s">
        <v>3069</v>
      </c>
      <c r="J231">
        <v>562.61</v>
      </c>
    </row>
    <row r="232" spans="1:10" x14ac:dyDescent="0.25">
      <c r="A232" t="s">
        <v>240</v>
      </c>
      <c r="B232" t="s">
        <v>1440</v>
      </c>
      <c r="C232" t="s">
        <v>2405</v>
      </c>
      <c r="D232">
        <v>4</v>
      </c>
      <c r="E232">
        <v>61.91</v>
      </c>
      <c r="F232" t="s">
        <v>2604</v>
      </c>
      <c r="G232" t="s">
        <v>3064</v>
      </c>
      <c r="H232">
        <v>6</v>
      </c>
      <c r="I232" t="s">
        <v>3068</v>
      </c>
      <c r="J232">
        <v>247.64</v>
      </c>
    </row>
    <row r="233" spans="1:10" x14ac:dyDescent="0.25">
      <c r="A233" t="s">
        <v>241</v>
      </c>
      <c r="B233" t="s">
        <v>1441</v>
      </c>
      <c r="C233" t="s">
        <v>2400</v>
      </c>
      <c r="D233">
        <v>4</v>
      </c>
      <c r="E233">
        <v>41.9</v>
      </c>
      <c r="F233" t="s">
        <v>2605</v>
      </c>
      <c r="G233" t="s">
        <v>3064</v>
      </c>
      <c r="H233">
        <v>9</v>
      </c>
      <c r="I233" t="s">
        <v>3066</v>
      </c>
      <c r="J233">
        <v>167.6</v>
      </c>
    </row>
    <row r="234" spans="1:10" x14ac:dyDescent="0.25">
      <c r="A234" t="s">
        <v>242</v>
      </c>
      <c r="B234" t="s">
        <v>1442</v>
      </c>
      <c r="C234" t="s">
        <v>2403</v>
      </c>
      <c r="D234">
        <v>4</v>
      </c>
      <c r="E234">
        <v>444.44</v>
      </c>
      <c r="F234" t="s">
        <v>2606</v>
      </c>
      <c r="G234" t="s">
        <v>3061</v>
      </c>
      <c r="H234">
        <v>8</v>
      </c>
      <c r="I234" t="s">
        <v>3070</v>
      </c>
      <c r="J234">
        <v>1777.76</v>
      </c>
    </row>
    <row r="235" spans="1:10" x14ac:dyDescent="0.25">
      <c r="A235" t="s">
        <v>243</v>
      </c>
      <c r="B235" t="s">
        <v>1443</v>
      </c>
      <c r="C235" t="s">
        <v>2400</v>
      </c>
      <c r="D235">
        <v>3</v>
      </c>
      <c r="E235">
        <v>311.33</v>
      </c>
      <c r="F235" t="s">
        <v>2478</v>
      </c>
      <c r="G235" t="s">
        <v>3065</v>
      </c>
      <c r="H235">
        <v>3</v>
      </c>
      <c r="I235" t="s">
        <v>3066</v>
      </c>
      <c r="J235">
        <v>933.99</v>
      </c>
    </row>
    <row r="236" spans="1:10" x14ac:dyDescent="0.25">
      <c r="A236" t="s">
        <v>244</v>
      </c>
      <c r="B236" t="s">
        <v>1444</v>
      </c>
      <c r="C236" t="s">
        <v>2403</v>
      </c>
      <c r="D236">
        <v>4</v>
      </c>
      <c r="E236">
        <v>236.41</v>
      </c>
      <c r="F236" t="s">
        <v>2607</v>
      </c>
      <c r="G236" t="s">
        <v>3061</v>
      </c>
      <c r="H236">
        <v>7</v>
      </c>
      <c r="I236" t="s">
        <v>3070</v>
      </c>
      <c r="J236">
        <v>945.64</v>
      </c>
    </row>
    <row r="237" spans="1:10" x14ac:dyDescent="0.25">
      <c r="A237" t="s">
        <v>245</v>
      </c>
      <c r="B237" t="s">
        <v>1445</v>
      </c>
      <c r="C237" t="s">
        <v>2405</v>
      </c>
      <c r="D237">
        <v>1</v>
      </c>
      <c r="E237">
        <v>65.45</v>
      </c>
      <c r="F237" t="s">
        <v>2608</v>
      </c>
      <c r="G237" t="s">
        <v>3065</v>
      </c>
      <c r="H237">
        <v>2</v>
      </c>
      <c r="I237" t="s">
        <v>3070</v>
      </c>
      <c r="J237">
        <v>65.45</v>
      </c>
    </row>
    <row r="238" spans="1:10" x14ac:dyDescent="0.25">
      <c r="A238" t="s">
        <v>246</v>
      </c>
      <c r="B238" t="s">
        <v>1446</v>
      </c>
      <c r="C238" t="s">
        <v>2399</v>
      </c>
      <c r="D238">
        <v>1</v>
      </c>
      <c r="E238">
        <v>318.81</v>
      </c>
      <c r="F238" t="s">
        <v>2609</v>
      </c>
      <c r="G238" t="s">
        <v>3061</v>
      </c>
      <c r="H238">
        <v>3</v>
      </c>
      <c r="I238" t="s">
        <v>3068</v>
      </c>
      <c r="J238">
        <v>318.81</v>
      </c>
    </row>
    <row r="239" spans="1:10" x14ac:dyDescent="0.25">
      <c r="A239" t="s">
        <v>247</v>
      </c>
      <c r="B239" t="s">
        <v>1447</v>
      </c>
      <c r="C239" t="s">
        <v>2399</v>
      </c>
      <c r="D239">
        <v>3</v>
      </c>
      <c r="E239">
        <v>583.72</v>
      </c>
      <c r="F239" t="s">
        <v>2610</v>
      </c>
      <c r="G239" t="s">
        <v>3063</v>
      </c>
      <c r="H239">
        <v>5</v>
      </c>
      <c r="I239" t="s">
        <v>3069</v>
      </c>
      <c r="J239">
        <v>1751.16</v>
      </c>
    </row>
    <row r="240" spans="1:10" x14ac:dyDescent="0.25">
      <c r="A240" t="s">
        <v>248</v>
      </c>
      <c r="B240" t="s">
        <v>1448</v>
      </c>
      <c r="C240" t="s">
        <v>2405</v>
      </c>
      <c r="D240">
        <v>4</v>
      </c>
      <c r="E240">
        <v>384.32</v>
      </c>
      <c r="F240" t="s">
        <v>2611</v>
      </c>
      <c r="G240" t="s">
        <v>3063</v>
      </c>
      <c r="H240">
        <v>6</v>
      </c>
      <c r="I240" t="s">
        <v>3070</v>
      </c>
      <c r="J240">
        <v>1537.28</v>
      </c>
    </row>
    <row r="241" spans="1:10" x14ac:dyDescent="0.25">
      <c r="A241" t="s">
        <v>249</v>
      </c>
      <c r="B241" t="s">
        <v>1449</v>
      </c>
      <c r="C241" t="s">
        <v>2401</v>
      </c>
      <c r="D241">
        <v>3</v>
      </c>
      <c r="E241">
        <v>538.74</v>
      </c>
      <c r="F241" t="s">
        <v>2612</v>
      </c>
      <c r="G241" t="s">
        <v>3062</v>
      </c>
      <c r="H241">
        <v>6</v>
      </c>
      <c r="I241" t="s">
        <v>3068</v>
      </c>
      <c r="J241">
        <v>1616.22</v>
      </c>
    </row>
    <row r="242" spans="1:10" x14ac:dyDescent="0.25">
      <c r="A242" t="s">
        <v>250</v>
      </c>
      <c r="B242" t="s">
        <v>1450</v>
      </c>
      <c r="C242" t="s">
        <v>2401</v>
      </c>
      <c r="D242">
        <v>1</v>
      </c>
      <c r="E242">
        <v>17.239999999999998</v>
      </c>
      <c r="F242" t="s">
        <v>2613</v>
      </c>
      <c r="G242" t="s">
        <v>3062</v>
      </c>
      <c r="H242">
        <v>2</v>
      </c>
      <c r="I242" t="s">
        <v>3066</v>
      </c>
      <c r="J242">
        <v>17.239999999999998</v>
      </c>
    </row>
    <row r="243" spans="1:10" x14ac:dyDescent="0.25">
      <c r="A243" t="s">
        <v>251</v>
      </c>
      <c r="B243" t="s">
        <v>1451</v>
      </c>
      <c r="C243" t="s">
        <v>2402</v>
      </c>
      <c r="D243">
        <v>5</v>
      </c>
      <c r="E243">
        <v>615.66999999999996</v>
      </c>
      <c r="F243" t="s">
        <v>2614</v>
      </c>
      <c r="G243" t="s">
        <v>3062</v>
      </c>
      <c r="H243">
        <v>6</v>
      </c>
      <c r="I243" t="s">
        <v>3068</v>
      </c>
      <c r="J243">
        <v>3078.35</v>
      </c>
    </row>
    <row r="244" spans="1:10" x14ac:dyDescent="0.25">
      <c r="A244" t="s">
        <v>252</v>
      </c>
      <c r="B244" t="s">
        <v>1452</v>
      </c>
      <c r="C244" t="s">
        <v>2403</v>
      </c>
      <c r="D244">
        <v>2</v>
      </c>
      <c r="E244">
        <v>219.1</v>
      </c>
      <c r="F244" t="s">
        <v>2615</v>
      </c>
      <c r="G244" t="s">
        <v>3062</v>
      </c>
      <c r="H244">
        <v>4</v>
      </c>
      <c r="I244" t="s">
        <v>3067</v>
      </c>
      <c r="J244">
        <v>438.2</v>
      </c>
    </row>
    <row r="245" spans="1:10" x14ac:dyDescent="0.25">
      <c r="A245" t="s">
        <v>253</v>
      </c>
      <c r="B245" t="s">
        <v>1453</v>
      </c>
      <c r="C245" t="s">
        <v>2402</v>
      </c>
      <c r="D245">
        <v>2</v>
      </c>
      <c r="E245">
        <v>144.66</v>
      </c>
      <c r="F245" t="s">
        <v>2616</v>
      </c>
      <c r="G245" t="s">
        <v>3062</v>
      </c>
      <c r="H245">
        <v>7</v>
      </c>
      <c r="I245" t="s">
        <v>3070</v>
      </c>
      <c r="J245">
        <v>289.32</v>
      </c>
    </row>
    <row r="246" spans="1:10" x14ac:dyDescent="0.25">
      <c r="A246" t="s">
        <v>254</v>
      </c>
      <c r="B246" t="s">
        <v>1454</v>
      </c>
      <c r="C246" t="s">
        <v>2405</v>
      </c>
      <c r="D246">
        <v>2</v>
      </c>
      <c r="E246">
        <v>317.77</v>
      </c>
      <c r="F246" t="s">
        <v>2617</v>
      </c>
      <c r="G246" t="s">
        <v>3061</v>
      </c>
      <c r="H246">
        <v>4</v>
      </c>
      <c r="I246" t="s">
        <v>3069</v>
      </c>
      <c r="J246">
        <v>635.54</v>
      </c>
    </row>
    <row r="247" spans="1:10" x14ac:dyDescent="0.25">
      <c r="A247" t="s">
        <v>255</v>
      </c>
      <c r="B247" t="s">
        <v>1455</v>
      </c>
      <c r="C247" t="s">
        <v>2404</v>
      </c>
      <c r="D247">
        <v>1</v>
      </c>
      <c r="E247">
        <v>223.3</v>
      </c>
      <c r="F247" t="s">
        <v>2618</v>
      </c>
      <c r="G247" t="s">
        <v>3062</v>
      </c>
      <c r="H247">
        <v>1</v>
      </c>
      <c r="I247" t="s">
        <v>3069</v>
      </c>
      <c r="J247">
        <v>223.3</v>
      </c>
    </row>
    <row r="248" spans="1:10" x14ac:dyDescent="0.25">
      <c r="A248" t="s">
        <v>256</v>
      </c>
      <c r="B248" t="s">
        <v>1456</v>
      </c>
      <c r="C248" t="s">
        <v>2405</v>
      </c>
      <c r="D248">
        <v>2</v>
      </c>
      <c r="E248">
        <v>342.11</v>
      </c>
      <c r="F248" t="s">
        <v>2619</v>
      </c>
      <c r="G248" t="s">
        <v>3064</v>
      </c>
      <c r="H248">
        <v>2</v>
      </c>
      <c r="I248" t="s">
        <v>3066</v>
      </c>
      <c r="J248">
        <v>684.22</v>
      </c>
    </row>
    <row r="249" spans="1:10" x14ac:dyDescent="0.25">
      <c r="A249" t="s">
        <v>257</v>
      </c>
      <c r="B249" t="s">
        <v>1457</v>
      </c>
      <c r="C249" t="s">
        <v>2403</v>
      </c>
      <c r="D249">
        <v>2</v>
      </c>
      <c r="E249">
        <v>220.9</v>
      </c>
      <c r="F249" t="s">
        <v>2620</v>
      </c>
      <c r="G249" t="s">
        <v>3064</v>
      </c>
      <c r="H249">
        <v>4</v>
      </c>
      <c r="I249" t="s">
        <v>3068</v>
      </c>
      <c r="J249">
        <v>441.8</v>
      </c>
    </row>
    <row r="250" spans="1:10" x14ac:dyDescent="0.25">
      <c r="A250" t="s">
        <v>258</v>
      </c>
      <c r="B250" t="s">
        <v>1458</v>
      </c>
      <c r="C250" t="s">
        <v>2404</v>
      </c>
      <c r="D250">
        <v>1</v>
      </c>
      <c r="E250">
        <v>670.54</v>
      </c>
      <c r="F250" t="s">
        <v>2621</v>
      </c>
      <c r="G250" t="s">
        <v>3065</v>
      </c>
      <c r="H250">
        <v>6</v>
      </c>
      <c r="I250" t="s">
        <v>3067</v>
      </c>
      <c r="J250">
        <v>670.54</v>
      </c>
    </row>
    <row r="251" spans="1:10" x14ac:dyDescent="0.25">
      <c r="A251" t="s">
        <v>259</v>
      </c>
      <c r="B251" t="s">
        <v>1459</v>
      </c>
      <c r="C251" t="s">
        <v>2403</v>
      </c>
      <c r="D251">
        <v>1</v>
      </c>
      <c r="E251">
        <v>546.19000000000005</v>
      </c>
      <c r="F251" t="s">
        <v>2622</v>
      </c>
      <c r="G251" t="s">
        <v>3065</v>
      </c>
      <c r="H251">
        <v>5</v>
      </c>
      <c r="I251" t="s">
        <v>3067</v>
      </c>
      <c r="J251">
        <v>546.19000000000005</v>
      </c>
    </row>
    <row r="252" spans="1:10" x14ac:dyDescent="0.25">
      <c r="A252" t="s">
        <v>260</v>
      </c>
      <c r="B252" t="s">
        <v>1460</v>
      </c>
      <c r="C252" t="s">
        <v>2405</v>
      </c>
      <c r="D252">
        <v>3</v>
      </c>
      <c r="E252">
        <v>42.95</v>
      </c>
      <c r="F252" t="s">
        <v>2488</v>
      </c>
      <c r="G252" t="s">
        <v>3064</v>
      </c>
      <c r="H252">
        <v>8</v>
      </c>
      <c r="I252" t="s">
        <v>3068</v>
      </c>
      <c r="J252">
        <v>128.85</v>
      </c>
    </row>
    <row r="253" spans="1:10" x14ac:dyDescent="0.25">
      <c r="A253" t="s">
        <v>261</v>
      </c>
      <c r="B253" t="s">
        <v>1461</v>
      </c>
      <c r="C253" t="s">
        <v>2399</v>
      </c>
      <c r="D253">
        <v>4</v>
      </c>
      <c r="E253">
        <v>14.69</v>
      </c>
      <c r="F253" t="s">
        <v>2623</v>
      </c>
      <c r="G253" t="s">
        <v>3065</v>
      </c>
      <c r="H253">
        <v>9</v>
      </c>
      <c r="I253" t="s">
        <v>3068</v>
      </c>
      <c r="J253">
        <v>58.76</v>
      </c>
    </row>
    <row r="254" spans="1:10" x14ac:dyDescent="0.25">
      <c r="A254" t="s">
        <v>262</v>
      </c>
      <c r="B254" t="s">
        <v>1462</v>
      </c>
      <c r="C254" t="s">
        <v>2400</v>
      </c>
      <c r="D254">
        <v>4</v>
      </c>
      <c r="E254">
        <v>668.36</v>
      </c>
      <c r="F254" t="s">
        <v>2624</v>
      </c>
      <c r="G254" t="s">
        <v>3064</v>
      </c>
      <c r="H254">
        <v>5</v>
      </c>
      <c r="I254" t="s">
        <v>3069</v>
      </c>
      <c r="J254">
        <v>2673.44</v>
      </c>
    </row>
    <row r="255" spans="1:10" x14ac:dyDescent="0.25">
      <c r="A255" t="s">
        <v>263</v>
      </c>
      <c r="B255" t="s">
        <v>1463</v>
      </c>
      <c r="C255" t="s">
        <v>2402</v>
      </c>
      <c r="D255">
        <v>4</v>
      </c>
      <c r="E255">
        <v>413.74</v>
      </c>
      <c r="F255" t="s">
        <v>2499</v>
      </c>
      <c r="G255" t="s">
        <v>3064</v>
      </c>
      <c r="H255">
        <v>7</v>
      </c>
      <c r="I255" t="s">
        <v>3066</v>
      </c>
      <c r="J255">
        <v>1654.96</v>
      </c>
    </row>
    <row r="256" spans="1:10" x14ac:dyDescent="0.25">
      <c r="A256" t="s">
        <v>264</v>
      </c>
      <c r="B256" t="s">
        <v>1464</v>
      </c>
      <c r="C256" t="s">
        <v>2399</v>
      </c>
      <c r="D256">
        <v>3</v>
      </c>
      <c r="E256">
        <v>263.19</v>
      </c>
      <c r="F256" t="s">
        <v>2611</v>
      </c>
      <c r="G256" t="s">
        <v>3062</v>
      </c>
      <c r="H256">
        <v>5</v>
      </c>
      <c r="I256" t="s">
        <v>3066</v>
      </c>
      <c r="J256">
        <v>789.56999999999994</v>
      </c>
    </row>
    <row r="257" spans="1:10" x14ac:dyDescent="0.25">
      <c r="A257" t="s">
        <v>265</v>
      </c>
      <c r="B257" t="s">
        <v>1465</v>
      </c>
      <c r="C257" t="s">
        <v>2399</v>
      </c>
      <c r="D257">
        <v>1</v>
      </c>
      <c r="E257">
        <v>263.95999999999998</v>
      </c>
      <c r="F257" t="s">
        <v>2561</v>
      </c>
      <c r="G257" t="s">
        <v>3064</v>
      </c>
      <c r="H257">
        <v>2</v>
      </c>
      <c r="I257" t="s">
        <v>3070</v>
      </c>
      <c r="J257">
        <v>263.95999999999998</v>
      </c>
    </row>
    <row r="258" spans="1:10" x14ac:dyDescent="0.25">
      <c r="A258" t="s">
        <v>266</v>
      </c>
      <c r="B258" t="s">
        <v>1466</v>
      </c>
      <c r="C258" t="s">
        <v>2402</v>
      </c>
      <c r="D258">
        <v>5</v>
      </c>
      <c r="E258">
        <v>75.81</v>
      </c>
      <c r="F258" t="s">
        <v>2625</v>
      </c>
      <c r="G258" t="s">
        <v>3064</v>
      </c>
      <c r="H258">
        <v>10</v>
      </c>
      <c r="I258" t="s">
        <v>3066</v>
      </c>
      <c r="J258">
        <v>379.05</v>
      </c>
    </row>
    <row r="259" spans="1:10" x14ac:dyDescent="0.25">
      <c r="A259" t="s">
        <v>267</v>
      </c>
      <c r="B259" t="s">
        <v>1467</v>
      </c>
      <c r="C259" t="s">
        <v>2400</v>
      </c>
      <c r="D259">
        <v>1</v>
      </c>
      <c r="E259">
        <v>406.22</v>
      </c>
      <c r="F259" t="s">
        <v>2626</v>
      </c>
      <c r="G259" t="s">
        <v>3063</v>
      </c>
      <c r="H259">
        <v>5</v>
      </c>
      <c r="I259" t="s">
        <v>3067</v>
      </c>
      <c r="J259">
        <v>406.22</v>
      </c>
    </row>
    <row r="260" spans="1:10" x14ac:dyDescent="0.25">
      <c r="A260" t="s">
        <v>268</v>
      </c>
      <c r="B260" t="s">
        <v>1468</v>
      </c>
      <c r="C260" t="s">
        <v>2401</v>
      </c>
      <c r="D260">
        <v>2</v>
      </c>
      <c r="E260">
        <v>103.41</v>
      </c>
      <c r="F260" t="s">
        <v>2627</v>
      </c>
      <c r="G260" t="s">
        <v>3062</v>
      </c>
      <c r="H260">
        <v>2</v>
      </c>
      <c r="I260" t="s">
        <v>3067</v>
      </c>
      <c r="J260">
        <v>206.82</v>
      </c>
    </row>
    <row r="261" spans="1:10" x14ac:dyDescent="0.25">
      <c r="A261" t="s">
        <v>269</v>
      </c>
      <c r="B261" t="s">
        <v>1469</v>
      </c>
      <c r="C261" t="s">
        <v>2402</v>
      </c>
      <c r="D261">
        <v>4</v>
      </c>
      <c r="E261">
        <v>435.12</v>
      </c>
      <c r="F261" t="s">
        <v>2531</v>
      </c>
      <c r="G261" t="s">
        <v>3063</v>
      </c>
      <c r="H261">
        <v>9</v>
      </c>
      <c r="I261" t="s">
        <v>3066</v>
      </c>
      <c r="J261">
        <v>1740.48</v>
      </c>
    </row>
    <row r="262" spans="1:10" x14ac:dyDescent="0.25">
      <c r="A262" t="s">
        <v>270</v>
      </c>
      <c r="B262" t="s">
        <v>1470</v>
      </c>
      <c r="C262" t="s">
        <v>2399</v>
      </c>
      <c r="D262">
        <v>2</v>
      </c>
      <c r="E262">
        <v>407.79</v>
      </c>
      <c r="F262" t="s">
        <v>2628</v>
      </c>
      <c r="G262" t="s">
        <v>3061</v>
      </c>
      <c r="H262">
        <v>3</v>
      </c>
      <c r="I262" t="s">
        <v>3070</v>
      </c>
      <c r="J262">
        <v>815.58</v>
      </c>
    </row>
    <row r="263" spans="1:10" x14ac:dyDescent="0.25">
      <c r="A263" t="s">
        <v>271</v>
      </c>
      <c r="B263" t="s">
        <v>1471</v>
      </c>
      <c r="C263" t="s">
        <v>2400</v>
      </c>
      <c r="D263">
        <v>5</v>
      </c>
      <c r="E263">
        <v>173.65</v>
      </c>
      <c r="F263" t="s">
        <v>2629</v>
      </c>
      <c r="G263" t="s">
        <v>3064</v>
      </c>
      <c r="H263">
        <v>9</v>
      </c>
      <c r="I263" t="s">
        <v>3068</v>
      </c>
      <c r="J263">
        <v>868.25</v>
      </c>
    </row>
    <row r="264" spans="1:10" x14ac:dyDescent="0.25">
      <c r="A264" t="s">
        <v>272</v>
      </c>
      <c r="B264" t="s">
        <v>1472</v>
      </c>
      <c r="C264" t="s">
        <v>2400</v>
      </c>
      <c r="D264">
        <v>4</v>
      </c>
      <c r="E264">
        <v>249.07</v>
      </c>
      <c r="F264" t="s">
        <v>2532</v>
      </c>
      <c r="G264" t="s">
        <v>3063</v>
      </c>
      <c r="H264">
        <v>5</v>
      </c>
      <c r="I264" t="s">
        <v>3067</v>
      </c>
      <c r="J264">
        <v>996.28</v>
      </c>
    </row>
    <row r="265" spans="1:10" x14ac:dyDescent="0.25">
      <c r="A265" t="s">
        <v>273</v>
      </c>
      <c r="B265" t="s">
        <v>1473</v>
      </c>
      <c r="C265" t="s">
        <v>2400</v>
      </c>
      <c r="D265">
        <v>4</v>
      </c>
      <c r="E265">
        <v>434.85</v>
      </c>
      <c r="F265" t="s">
        <v>2630</v>
      </c>
      <c r="G265" t="s">
        <v>3063</v>
      </c>
      <c r="H265">
        <v>4</v>
      </c>
      <c r="I265" t="s">
        <v>3070</v>
      </c>
      <c r="J265">
        <v>1739.4</v>
      </c>
    </row>
    <row r="266" spans="1:10" x14ac:dyDescent="0.25">
      <c r="A266" t="s">
        <v>274</v>
      </c>
      <c r="B266" t="s">
        <v>1474</v>
      </c>
      <c r="C266" t="s">
        <v>2401</v>
      </c>
      <c r="D266">
        <v>1</v>
      </c>
      <c r="E266">
        <v>436.77</v>
      </c>
      <c r="F266" t="s">
        <v>2631</v>
      </c>
      <c r="G266" t="s">
        <v>3065</v>
      </c>
      <c r="H266">
        <v>5</v>
      </c>
      <c r="I266" t="s">
        <v>3070</v>
      </c>
      <c r="J266">
        <v>436.77</v>
      </c>
    </row>
    <row r="267" spans="1:10" x14ac:dyDescent="0.25">
      <c r="A267" t="s">
        <v>275</v>
      </c>
      <c r="B267" t="s">
        <v>1475</v>
      </c>
      <c r="C267" t="s">
        <v>2403</v>
      </c>
      <c r="D267">
        <v>1</v>
      </c>
      <c r="E267">
        <v>572.13</v>
      </c>
      <c r="F267" t="s">
        <v>2632</v>
      </c>
      <c r="G267" t="s">
        <v>3061</v>
      </c>
      <c r="H267">
        <v>4</v>
      </c>
      <c r="I267" t="s">
        <v>3070</v>
      </c>
      <c r="J267">
        <v>572.13</v>
      </c>
    </row>
    <row r="268" spans="1:10" x14ac:dyDescent="0.25">
      <c r="A268" t="s">
        <v>276</v>
      </c>
      <c r="B268" t="s">
        <v>1476</v>
      </c>
      <c r="C268" t="s">
        <v>2402</v>
      </c>
      <c r="D268">
        <v>4</v>
      </c>
      <c r="E268">
        <v>583.07000000000005</v>
      </c>
      <c r="F268" t="s">
        <v>2633</v>
      </c>
      <c r="G268" t="s">
        <v>3063</v>
      </c>
      <c r="H268">
        <v>6</v>
      </c>
      <c r="I268" t="s">
        <v>3067</v>
      </c>
      <c r="J268">
        <v>2332.2800000000002</v>
      </c>
    </row>
    <row r="269" spans="1:10" x14ac:dyDescent="0.25">
      <c r="A269" t="s">
        <v>277</v>
      </c>
      <c r="B269" t="s">
        <v>1477</v>
      </c>
      <c r="C269" t="s">
        <v>2402</v>
      </c>
      <c r="D269">
        <v>5</v>
      </c>
      <c r="E269">
        <v>468.51</v>
      </c>
      <c r="F269" t="s">
        <v>2634</v>
      </c>
      <c r="G269" t="s">
        <v>3061</v>
      </c>
      <c r="H269">
        <v>9</v>
      </c>
      <c r="I269" t="s">
        <v>3069</v>
      </c>
      <c r="J269">
        <v>2342.5500000000002</v>
      </c>
    </row>
    <row r="270" spans="1:10" x14ac:dyDescent="0.25">
      <c r="A270" t="s">
        <v>278</v>
      </c>
      <c r="B270" t="s">
        <v>1478</v>
      </c>
      <c r="C270" t="s">
        <v>2400</v>
      </c>
      <c r="D270">
        <v>2</v>
      </c>
      <c r="E270">
        <v>423.88</v>
      </c>
      <c r="F270" t="s">
        <v>2635</v>
      </c>
      <c r="G270" t="s">
        <v>3061</v>
      </c>
      <c r="H270">
        <v>7</v>
      </c>
      <c r="I270" t="s">
        <v>3067</v>
      </c>
      <c r="J270">
        <v>847.76</v>
      </c>
    </row>
    <row r="271" spans="1:10" x14ac:dyDescent="0.25">
      <c r="A271" t="s">
        <v>279</v>
      </c>
      <c r="B271" t="s">
        <v>1479</v>
      </c>
      <c r="C271" t="s">
        <v>2401</v>
      </c>
      <c r="D271">
        <v>4</v>
      </c>
      <c r="E271">
        <v>663.67</v>
      </c>
      <c r="F271" t="s">
        <v>2473</v>
      </c>
      <c r="G271" t="s">
        <v>3063</v>
      </c>
      <c r="H271">
        <v>7</v>
      </c>
      <c r="I271" t="s">
        <v>3070</v>
      </c>
      <c r="J271">
        <v>2654.68</v>
      </c>
    </row>
    <row r="272" spans="1:10" x14ac:dyDescent="0.25">
      <c r="A272" t="s">
        <v>280</v>
      </c>
      <c r="B272" t="s">
        <v>1480</v>
      </c>
      <c r="C272" t="s">
        <v>2403</v>
      </c>
      <c r="D272">
        <v>4</v>
      </c>
      <c r="E272">
        <v>309.91000000000003</v>
      </c>
      <c r="F272" t="s">
        <v>2636</v>
      </c>
      <c r="G272" t="s">
        <v>3061</v>
      </c>
      <c r="H272">
        <v>5</v>
      </c>
      <c r="I272" t="s">
        <v>3070</v>
      </c>
      <c r="J272">
        <v>1239.6400000000001</v>
      </c>
    </row>
    <row r="273" spans="1:10" x14ac:dyDescent="0.25">
      <c r="A273" t="s">
        <v>281</v>
      </c>
      <c r="B273" t="s">
        <v>1481</v>
      </c>
      <c r="C273" t="s">
        <v>2399</v>
      </c>
      <c r="D273">
        <v>1</v>
      </c>
      <c r="E273">
        <v>542.07000000000005</v>
      </c>
      <c r="F273" t="s">
        <v>2637</v>
      </c>
      <c r="G273" t="s">
        <v>3065</v>
      </c>
      <c r="H273">
        <v>6</v>
      </c>
      <c r="I273" t="s">
        <v>3067</v>
      </c>
      <c r="J273">
        <v>542.07000000000005</v>
      </c>
    </row>
    <row r="274" spans="1:10" x14ac:dyDescent="0.25">
      <c r="A274" t="s">
        <v>282</v>
      </c>
      <c r="B274" t="s">
        <v>1482</v>
      </c>
      <c r="C274" t="s">
        <v>2402</v>
      </c>
      <c r="D274">
        <v>2</v>
      </c>
      <c r="E274">
        <v>399.32</v>
      </c>
      <c r="F274" t="s">
        <v>2638</v>
      </c>
      <c r="G274" t="s">
        <v>3062</v>
      </c>
      <c r="H274">
        <v>6</v>
      </c>
      <c r="I274" t="s">
        <v>3066</v>
      </c>
      <c r="J274">
        <v>798.64</v>
      </c>
    </row>
    <row r="275" spans="1:10" x14ac:dyDescent="0.25">
      <c r="A275" t="s">
        <v>283</v>
      </c>
      <c r="B275" t="s">
        <v>1483</v>
      </c>
      <c r="C275" t="s">
        <v>2401</v>
      </c>
      <c r="D275">
        <v>2</v>
      </c>
      <c r="E275">
        <v>238.25</v>
      </c>
      <c r="F275" t="s">
        <v>2639</v>
      </c>
      <c r="G275" t="s">
        <v>3062</v>
      </c>
      <c r="H275">
        <v>7</v>
      </c>
      <c r="I275" t="s">
        <v>3068</v>
      </c>
      <c r="J275">
        <v>476.5</v>
      </c>
    </row>
    <row r="276" spans="1:10" x14ac:dyDescent="0.25">
      <c r="A276" t="s">
        <v>284</v>
      </c>
      <c r="B276" t="s">
        <v>1484</v>
      </c>
      <c r="C276" t="s">
        <v>2400</v>
      </c>
      <c r="D276">
        <v>2</v>
      </c>
      <c r="E276">
        <v>182.4</v>
      </c>
      <c r="F276" t="s">
        <v>2640</v>
      </c>
      <c r="G276" t="s">
        <v>3064</v>
      </c>
      <c r="H276">
        <v>5</v>
      </c>
      <c r="I276" t="s">
        <v>3067</v>
      </c>
      <c r="J276">
        <v>364.8</v>
      </c>
    </row>
    <row r="277" spans="1:10" x14ac:dyDescent="0.25">
      <c r="A277" t="s">
        <v>285</v>
      </c>
      <c r="B277" t="s">
        <v>1485</v>
      </c>
      <c r="C277" t="s">
        <v>2402</v>
      </c>
      <c r="D277">
        <v>2</v>
      </c>
      <c r="E277">
        <v>65.069999999999993</v>
      </c>
      <c r="F277" t="s">
        <v>2641</v>
      </c>
      <c r="G277" t="s">
        <v>3063</v>
      </c>
      <c r="H277">
        <v>4</v>
      </c>
      <c r="I277" t="s">
        <v>3070</v>
      </c>
      <c r="J277">
        <v>130.13999999999999</v>
      </c>
    </row>
    <row r="278" spans="1:10" x14ac:dyDescent="0.25">
      <c r="A278" t="s">
        <v>286</v>
      </c>
      <c r="B278" t="s">
        <v>1486</v>
      </c>
      <c r="C278" t="s">
        <v>2403</v>
      </c>
      <c r="D278">
        <v>2</v>
      </c>
      <c r="E278">
        <v>600.57000000000005</v>
      </c>
      <c r="F278" t="s">
        <v>2642</v>
      </c>
      <c r="G278" t="s">
        <v>3061</v>
      </c>
      <c r="H278">
        <v>3</v>
      </c>
      <c r="I278" t="s">
        <v>3066</v>
      </c>
      <c r="J278">
        <v>1201.1400000000001</v>
      </c>
    </row>
    <row r="279" spans="1:10" x14ac:dyDescent="0.25">
      <c r="A279" t="s">
        <v>287</v>
      </c>
      <c r="B279" t="s">
        <v>1487</v>
      </c>
      <c r="C279" t="s">
        <v>2402</v>
      </c>
      <c r="D279">
        <v>5</v>
      </c>
      <c r="E279">
        <v>90.92</v>
      </c>
      <c r="F279" t="s">
        <v>2643</v>
      </c>
      <c r="G279" t="s">
        <v>3063</v>
      </c>
      <c r="H279">
        <v>9</v>
      </c>
      <c r="I279" t="s">
        <v>3069</v>
      </c>
      <c r="J279">
        <v>454.6</v>
      </c>
    </row>
    <row r="280" spans="1:10" x14ac:dyDescent="0.25">
      <c r="A280" t="s">
        <v>288</v>
      </c>
      <c r="B280" t="s">
        <v>1488</v>
      </c>
      <c r="C280" t="s">
        <v>2404</v>
      </c>
      <c r="D280">
        <v>5</v>
      </c>
      <c r="E280">
        <v>362.46</v>
      </c>
      <c r="F280" t="s">
        <v>2644</v>
      </c>
      <c r="G280" t="s">
        <v>3065</v>
      </c>
      <c r="H280">
        <v>6</v>
      </c>
      <c r="I280" t="s">
        <v>3066</v>
      </c>
      <c r="J280">
        <v>1812.3</v>
      </c>
    </row>
    <row r="281" spans="1:10" x14ac:dyDescent="0.25">
      <c r="A281" t="s">
        <v>289</v>
      </c>
      <c r="B281" t="s">
        <v>1489</v>
      </c>
      <c r="C281" t="s">
        <v>2402</v>
      </c>
      <c r="D281">
        <v>3</v>
      </c>
      <c r="E281">
        <v>55.01</v>
      </c>
      <c r="F281" t="s">
        <v>2645</v>
      </c>
      <c r="G281" t="s">
        <v>3062</v>
      </c>
      <c r="H281">
        <v>7</v>
      </c>
      <c r="I281" t="s">
        <v>3068</v>
      </c>
      <c r="J281">
        <v>165.03</v>
      </c>
    </row>
    <row r="282" spans="1:10" x14ac:dyDescent="0.25">
      <c r="A282" t="s">
        <v>290</v>
      </c>
      <c r="B282" t="s">
        <v>1490</v>
      </c>
      <c r="C282" t="s">
        <v>2401</v>
      </c>
      <c r="D282">
        <v>3</v>
      </c>
      <c r="E282">
        <v>404.62</v>
      </c>
      <c r="F282" t="s">
        <v>2646</v>
      </c>
      <c r="G282" t="s">
        <v>3064</v>
      </c>
      <c r="H282">
        <v>6</v>
      </c>
      <c r="I282" t="s">
        <v>3066</v>
      </c>
      <c r="J282">
        <v>1213.8599999999999</v>
      </c>
    </row>
    <row r="283" spans="1:10" x14ac:dyDescent="0.25">
      <c r="A283" t="s">
        <v>291</v>
      </c>
      <c r="B283" t="s">
        <v>1491</v>
      </c>
      <c r="C283" t="s">
        <v>2405</v>
      </c>
      <c r="D283">
        <v>4</v>
      </c>
      <c r="E283">
        <v>654.79</v>
      </c>
      <c r="F283" t="s">
        <v>2647</v>
      </c>
      <c r="G283" t="s">
        <v>3065</v>
      </c>
      <c r="H283">
        <v>9</v>
      </c>
      <c r="I283" t="s">
        <v>3067</v>
      </c>
      <c r="J283">
        <v>2619.16</v>
      </c>
    </row>
    <row r="284" spans="1:10" x14ac:dyDescent="0.25">
      <c r="A284" t="s">
        <v>292</v>
      </c>
      <c r="B284" t="s">
        <v>1492</v>
      </c>
      <c r="C284" t="s">
        <v>2403</v>
      </c>
      <c r="D284">
        <v>4</v>
      </c>
      <c r="E284">
        <v>637.79</v>
      </c>
      <c r="F284" t="s">
        <v>2648</v>
      </c>
      <c r="G284" t="s">
        <v>3064</v>
      </c>
      <c r="H284">
        <v>9</v>
      </c>
      <c r="I284" t="s">
        <v>3070</v>
      </c>
      <c r="J284">
        <v>2551.16</v>
      </c>
    </row>
    <row r="285" spans="1:10" x14ac:dyDescent="0.25">
      <c r="A285" t="s">
        <v>293</v>
      </c>
      <c r="B285" t="s">
        <v>1493</v>
      </c>
      <c r="C285" t="s">
        <v>2404</v>
      </c>
      <c r="D285">
        <v>4</v>
      </c>
      <c r="E285">
        <v>540.33000000000004</v>
      </c>
      <c r="F285" t="s">
        <v>2649</v>
      </c>
      <c r="G285" t="s">
        <v>3065</v>
      </c>
      <c r="H285">
        <v>6</v>
      </c>
      <c r="I285" t="s">
        <v>3070</v>
      </c>
      <c r="J285">
        <v>2161.3200000000002</v>
      </c>
    </row>
    <row r="286" spans="1:10" x14ac:dyDescent="0.25">
      <c r="A286" t="s">
        <v>294</v>
      </c>
      <c r="B286" t="s">
        <v>1494</v>
      </c>
      <c r="C286" t="s">
        <v>2404</v>
      </c>
      <c r="D286">
        <v>5</v>
      </c>
      <c r="E286">
        <v>208.17</v>
      </c>
      <c r="F286" t="s">
        <v>2650</v>
      </c>
      <c r="G286" t="s">
        <v>3063</v>
      </c>
      <c r="H286">
        <v>6</v>
      </c>
      <c r="I286" t="s">
        <v>3069</v>
      </c>
      <c r="J286">
        <v>1040.8499999999999</v>
      </c>
    </row>
    <row r="287" spans="1:10" x14ac:dyDescent="0.25">
      <c r="A287" t="s">
        <v>295</v>
      </c>
      <c r="B287" t="s">
        <v>1495</v>
      </c>
      <c r="C287" t="s">
        <v>2400</v>
      </c>
      <c r="D287">
        <v>1</v>
      </c>
      <c r="E287">
        <v>338.31</v>
      </c>
      <c r="F287" t="s">
        <v>2639</v>
      </c>
      <c r="G287" t="s">
        <v>3062</v>
      </c>
      <c r="H287">
        <v>3</v>
      </c>
      <c r="I287" t="s">
        <v>3070</v>
      </c>
      <c r="J287">
        <v>338.31</v>
      </c>
    </row>
    <row r="288" spans="1:10" x14ac:dyDescent="0.25">
      <c r="A288" t="s">
        <v>296</v>
      </c>
      <c r="B288" t="s">
        <v>1496</v>
      </c>
      <c r="C288" t="s">
        <v>2399</v>
      </c>
      <c r="D288">
        <v>3</v>
      </c>
      <c r="E288">
        <v>139.44999999999999</v>
      </c>
      <c r="F288" t="s">
        <v>2518</v>
      </c>
      <c r="G288" t="s">
        <v>3064</v>
      </c>
      <c r="H288">
        <v>8</v>
      </c>
      <c r="I288" t="s">
        <v>3070</v>
      </c>
      <c r="J288">
        <v>418.35</v>
      </c>
    </row>
    <row r="289" spans="1:10" x14ac:dyDescent="0.25">
      <c r="A289" t="s">
        <v>297</v>
      </c>
      <c r="B289" t="s">
        <v>1497</v>
      </c>
      <c r="C289" t="s">
        <v>2402</v>
      </c>
      <c r="D289">
        <v>4</v>
      </c>
      <c r="E289">
        <v>655.17999999999995</v>
      </c>
      <c r="F289" t="s">
        <v>2651</v>
      </c>
      <c r="G289" t="s">
        <v>3062</v>
      </c>
      <c r="H289">
        <v>5</v>
      </c>
      <c r="I289" t="s">
        <v>3069</v>
      </c>
      <c r="J289">
        <v>2620.7199999999998</v>
      </c>
    </row>
    <row r="290" spans="1:10" x14ac:dyDescent="0.25">
      <c r="A290" t="s">
        <v>298</v>
      </c>
      <c r="B290" t="s">
        <v>1498</v>
      </c>
      <c r="C290" t="s">
        <v>2404</v>
      </c>
      <c r="D290">
        <v>4</v>
      </c>
      <c r="E290">
        <v>512.75</v>
      </c>
      <c r="F290" t="s">
        <v>2652</v>
      </c>
      <c r="G290" t="s">
        <v>3061</v>
      </c>
      <c r="H290">
        <v>8</v>
      </c>
      <c r="I290" t="s">
        <v>3070</v>
      </c>
      <c r="J290">
        <v>2051</v>
      </c>
    </row>
    <row r="291" spans="1:10" x14ac:dyDescent="0.25">
      <c r="A291" t="s">
        <v>299</v>
      </c>
      <c r="B291" t="s">
        <v>1499</v>
      </c>
      <c r="C291" t="s">
        <v>2402</v>
      </c>
      <c r="D291">
        <v>4</v>
      </c>
      <c r="E291">
        <v>160.49</v>
      </c>
      <c r="F291" t="s">
        <v>2416</v>
      </c>
      <c r="G291" t="s">
        <v>3063</v>
      </c>
      <c r="H291">
        <v>8</v>
      </c>
      <c r="I291" t="s">
        <v>3067</v>
      </c>
      <c r="J291">
        <v>641.96</v>
      </c>
    </row>
    <row r="292" spans="1:10" x14ac:dyDescent="0.25">
      <c r="A292" t="s">
        <v>300</v>
      </c>
      <c r="B292" t="s">
        <v>1500</v>
      </c>
      <c r="C292" t="s">
        <v>2402</v>
      </c>
      <c r="D292">
        <v>3</v>
      </c>
      <c r="E292">
        <v>99.9</v>
      </c>
      <c r="F292" t="s">
        <v>2571</v>
      </c>
      <c r="G292" t="s">
        <v>3065</v>
      </c>
      <c r="H292">
        <v>8</v>
      </c>
      <c r="I292" t="s">
        <v>3069</v>
      </c>
      <c r="J292">
        <v>299.7</v>
      </c>
    </row>
    <row r="293" spans="1:10" x14ac:dyDescent="0.25">
      <c r="A293" t="s">
        <v>301</v>
      </c>
      <c r="B293" t="s">
        <v>1501</v>
      </c>
      <c r="C293" t="s">
        <v>2400</v>
      </c>
      <c r="D293">
        <v>2</v>
      </c>
      <c r="E293">
        <v>345.01</v>
      </c>
      <c r="F293" t="s">
        <v>2653</v>
      </c>
      <c r="G293" t="s">
        <v>3063</v>
      </c>
      <c r="H293">
        <v>6</v>
      </c>
      <c r="I293" t="s">
        <v>3070</v>
      </c>
      <c r="J293">
        <v>690.02</v>
      </c>
    </row>
    <row r="294" spans="1:10" x14ac:dyDescent="0.25">
      <c r="A294" t="s">
        <v>302</v>
      </c>
      <c r="B294" t="s">
        <v>1502</v>
      </c>
      <c r="C294" t="s">
        <v>2399</v>
      </c>
      <c r="D294">
        <v>1</v>
      </c>
      <c r="E294">
        <v>65.95</v>
      </c>
      <c r="F294" t="s">
        <v>2590</v>
      </c>
      <c r="G294" t="s">
        <v>3063</v>
      </c>
      <c r="H294">
        <v>5</v>
      </c>
      <c r="I294" t="s">
        <v>3069</v>
      </c>
      <c r="J294">
        <v>65.95</v>
      </c>
    </row>
    <row r="295" spans="1:10" x14ac:dyDescent="0.25">
      <c r="A295" t="s">
        <v>303</v>
      </c>
      <c r="B295" t="s">
        <v>1503</v>
      </c>
      <c r="C295" t="s">
        <v>2401</v>
      </c>
      <c r="D295">
        <v>4</v>
      </c>
      <c r="E295">
        <v>463.04</v>
      </c>
      <c r="F295" t="s">
        <v>2654</v>
      </c>
      <c r="G295" t="s">
        <v>3064</v>
      </c>
      <c r="H295">
        <v>9</v>
      </c>
      <c r="I295" t="s">
        <v>3066</v>
      </c>
      <c r="J295">
        <v>1852.16</v>
      </c>
    </row>
    <row r="296" spans="1:10" x14ac:dyDescent="0.25">
      <c r="A296" t="s">
        <v>304</v>
      </c>
      <c r="B296" t="s">
        <v>1504</v>
      </c>
      <c r="C296" t="s">
        <v>2400</v>
      </c>
      <c r="D296">
        <v>2</v>
      </c>
      <c r="E296">
        <v>297.70999999999998</v>
      </c>
      <c r="F296" t="s">
        <v>2655</v>
      </c>
      <c r="G296" t="s">
        <v>3062</v>
      </c>
      <c r="H296">
        <v>7</v>
      </c>
      <c r="I296" t="s">
        <v>3067</v>
      </c>
      <c r="J296">
        <v>595.41999999999996</v>
      </c>
    </row>
    <row r="297" spans="1:10" x14ac:dyDescent="0.25">
      <c r="A297" t="s">
        <v>305</v>
      </c>
      <c r="B297" t="s">
        <v>1505</v>
      </c>
      <c r="C297" t="s">
        <v>2403</v>
      </c>
      <c r="D297">
        <v>5</v>
      </c>
      <c r="E297">
        <v>107.48</v>
      </c>
      <c r="F297" t="s">
        <v>2656</v>
      </c>
      <c r="G297" t="s">
        <v>3061</v>
      </c>
      <c r="H297">
        <v>9</v>
      </c>
      <c r="I297" t="s">
        <v>3068</v>
      </c>
      <c r="J297">
        <v>537.4</v>
      </c>
    </row>
    <row r="298" spans="1:10" x14ac:dyDescent="0.25">
      <c r="A298" t="s">
        <v>306</v>
      </c>
      <c r="B298" t="s">
        <v>1506</v>
      </c>
      <c r="C298" t="s">
        <v>2405</v>
      </c>
      <c r="D298">
        <v>5</v>
      </c>
      <c r="E298">
        <v>638.79999999999995</v>
      </c>
      <c r="F298" t="s">
        <v>2454</v>
      </c>
      <c r="G298" t="s">
        <v>3061</v>
      </c>
      <c r="H298">
        <v>10</v>
      </c>
      <c r="I298" t="s">
        <v>3067</v>
      </c>
      <c r="J298">
        <v>3194</v>
      </c>
    </row>
    <row r="299" spans="1:10" x14ac:dyDescent="0.25">
      <c r="A299" t="s">
        <v>307</v>
      </c>
      <c r="B299" t="s">
        <v>1507</v>
      </c>
      <c r="C299" t="s">
        <v>2405</v>
      </c>
      <c r="D299">
        <v>2</v>
      </c>
      <c r="E299">
        <v>493.88</v>
      </c>
      <c r="F299" t="s">
        <v>2657</v>
      </c>
      <c r="G299" t="s">
        <v>3063</v>
      </c>
      <c r="H299">
        <v>7</v>
      </c>
      <c r="I299" t="s">
        <v>3066</v>
      </c>
      <c r="J299">
        <v>987.76</v>
      </c>
    </row>
    <row r="300" spans="1:10" x14ac:dyDescent="0.25">
      <c r="A300" t="s">
        <v>308</v>
      </c>
      <c r="B300" t="s">
        <v>1508</v>
      </c>
      <c r="C300" t="s">
        <v>2403</v>
      </c>
      <c r="D300">
        <v>4</v>
      </c>
      <c r="E300">
        <v>301.17</v>
      </c>
      <c r="F300" t="s">
        <v>2446</v>
      </c>
      <c r="G300" t="s">
        <v>3062</v>
      </c>
      <c r="H300">
        <v>6</v>
      </c>
      <c r="I300" t="s">
        <v>3068</v>
      </c>
      <c r="J300">
        <v>1204.68</v>
      </c>
    </row>
    <row r="301" spans="1:10" x14ac:dyDescent="0.25">
      <c r="A301" t="s">
        <v>309</v>
      </c>
      <c r="B301" t="s">
        <v>1509</v>
      </c>
      <c r="C301" t="s">
        <v>2399</v>
      </c>
      <c r="D301">
        <v>1</v>
      </c>
      <c r="E301">
        <v>278.66000000000003</v>
      </c>
      <c r="F301" t="s">
        <v>2658</v>
      </c>
      <c r="G301" t="s">
        <v>3064</v>
      </c>
      <c r="H301">
        <v>2</v>
      </c>
      <c r="I301" t="s">
        <v>3066</v>
      </c>
      <c r="J301">
        <v>278.66000000000003</v>
      </c>
    </row>
    <row r="302" spans="1:10" x14ac:dyDescent="0.25">
      <c r="A302" t="s">
        <v>310</v>
      </c>
      <c r="B302" t="s">
        <v>1510</v>
      </c>
      <c r="C302" t="s">
        <v>2400</v>
      </c>
      <c r="D302">
        <v>1</v>
      </c>
      <c r="E302">
        <v>287.45999999999998</v>
      </c>
      <c r="F302" t="s">
        <v>2659</v>
      </c>
      <c r="G302" t="s">
        <v>3061</v>
      </c>
      <c r="H302">
        <v>3</v>
      </c>
      <c r="I302" t="s">
        <v>3069</v>
      </c>
      <c r="J302">
        <v>287.45999999999998</v>
      </c>
    </row>
    <row r="303" spans="1:10" x14ac:dyDescent="0.25">
      <c r="A303" t="s">
        <v>311</v>
      </c>
      <c r="B303" t="s">
        <v>1511</v>
      </c>
      <c r="C303" t="s">
        <v>2402</v>
      </c>
      <c r="D303">
        <v>1</v>
      </c>
      <c r="E303">
        <v>583.99</v>
      </c>
      <c r="F303" t="s">
        <v>2660</v>
      </c>
      <c r="G303" t="s">
        <v>3065</v>
      </c>
      <c r="H303">
        <v>2</v>
      </c>
      <c r="I303" t="s">
        <v>3068</v>
      </c>
      <c r="J303">
        <v>583.99</v>
      </c>
    </row>
    <row r="304" spans="1:10" x14ac:dyDescent="0.25">
      <c r="A304" t="s">
        <v>312</v>
      </c>
      <c r="B304" t="s">
        <v>1512</v>
      </c>
      <c r="C304" t="s">
        <v>2402</v>
      </c>
      <c r="D304">
        <v>3</v>
      </c>
      <c r="E304">
        <v>468.74</v>
      </c>
      <c r="F304" t="s">
        <v>2661</v>
      </c>
      <c r="G304" t="s">
        <v>3065</v>
      </c>
      <c r="H304">
        <v>4</v>
      </c>
      <c r="I304" t="s">
        <v>3066</v>
      </c>
      <c r="J304">
        <v>1406.22</v>
      </c>
    </row>
    <row r="305" spans="1:10" x14ac:dyDescent="0.25">
      <c r="A305" t="s">
        <v>313</v>
      </c>
      <c r="B305" t="s">
        <v>1513</v>
      </c>
      <c r="C305" t="s">
        <v>2401</v>
      </c>
      <c r="D305">
        <v>1</v>
      </c>
      <c r="E305">
        <v>30.54</v>
      </c>
      <c r="F305" t="s">
        <v>2662</v>
      </c>
      <c r="G305" t="s">
        <v>3061</v>
      </c>
      <c r="H305">
        <v>1</v>
      </c>
      <c r="I305" t="s">
        <v>3070</v>
      </c>
      <c r="J305">
        <v>30.54</v>
      </c>
    </row>
    <row r="306" spans="1:10" x14ac:dyDescent="0.25">
      <c r="A306" t="s">
        <v>314</v>
      </c>
      <c r="B306" t="s">
        <v>1514</v>
      </c>
      <c r="C306" t="s">
        <v>2399</v>
      </c>
      <c r="D306">
        <v>5</v>
      </c>
      <c r="E306">
        <v>408.73</v>
      </c>
      <c r="F306" t="s">
        <v>2663</v>
      </c>
      <c r="G306" t="s">
        <v>3064</v>
      </c>
      <c r="H306">
        <v>10</v>
      </c>
      <c r="I306" t="s">
        <v>3066</v>
      </c>
      <c r="J306">
        <v>2043.65</v>
      </c>
    </row>
    <row r="307" spans="1:10" x14ac:dyDescent="0.25">
      <c r="A307" t="s">
        <v>315</v>
      </c>
      <c r="B307" t="s">
        <v>1515</v>
      </c>
      <c r="C307" t="s">
        <v>2404</v>
      </c>
      <c r="D307">
        <v>4</v>
      </c>
      <c r="E307">
        <v>126.89</v>
      </c>
      <c r="F307" t="s">
        <v>2664</v>
      </c>
      <c r="G307" t="s">
        <v>3065</v>
      </c>
      <c r="H307">
        <v>9</v>
      </c>
      <c r="I307" t="s">
        <v>3066</v>
      </c>
      <c r="J307">
        <v>507.56</v>
      </c>
    </row>
    <row r="308" spans="1:10" x14ac:dyDescent="0.25">
      <c r="A308" t="s">
        <v>316</v>
      </c>
      <c r="B308" t="s">
        <v>1516</v>
      </c>
      <c r="C308" t="s">
        <v>2403</v>
      </c>
      <c r="D308">
        <v>2</v>
      </c>
      <c r="E308">
        <v>57.07</v>
      </c>
      <c r="F308" t="s">
        <v>2665</v>
      </c>
      <c r="G308" t="s">
        <v>3061</v>
      </c>
      <c r="H308">
        <v>3</v>
      </c>
      <c r="I308" t="s">
        <v>3066</v>
      </c>
      <c r="J308">
        <v>114.14</v>
      </c>
    </row>
    <row r="309" spans="1:10" x14ac:dyDescent="0.25">
      <c r="A309" t="s">
        <v>317</v>
      </c>
      <c r="B309" t="s">
        <v>1517</v>
      </c>
      <c r="C309" t="s">
        <v>2404</v>
      </c>
      <c r="D309">
        <v>3</v>
      </c>
      <c r="E309">
        <v>557.41</v>
      </c>
      <c r="F309" t="s">
        <v>2666</v>
      </c>
      <c r="G309" t="s">
        <v>3062</v>
      </c>
      <c r="H309">
        <v>4</v>
      </c>
      <c r="I309" t="s">
        <v>3068</v>
      </c>
      <c r="J309">
        <v>1672.23</v>
      </c>
    </row>
    <row r="310" spans="1:10" x14ac:dyDescent="0.25">
      <c r="A310" t="s">
        <v>318</v>
      </c>
      <c r="B310" t="s">
        <v>1518</v>
      </c>
      <c r="C310" t="s">
        <v>2403</v>
      </c>
      <c r="D310">
        <v>3</v>
      </c>
      <c r="E310">
        <v>448.9</v>
      </c>
      <c r="F310" t="s">
        <v>2562</v>
      </c>
      <c r="G310" t="s">
        <v>3061</v>
      </c>
      <c r="H310">
        <v>7</v>
      </c>
      <c r="I310" t="s">
        <v>3066</v>
      </c>
      <c r="J310">
        <v>1346.7</v>
      </c>
    </row>
    <row r="311" spans="1:10" x14ac:dyDescent="0.25">
      <c r="A311" t="s">
        <v>319</v>
      </c>
      <c r="B311" t="s">
        <v>1519</v>
      </c>
      <c r="C311" t="s">
        <v>2402</v>
      </c>
      <c r="D311">
        <v>4</v>
      </c>
      <c r="E311">
        <v>549.76</v>
      </c>
      <c r="F311" t="s">
        <v>2667</v>
      </c>
      <c r="G311" t="s">
        <v>3061</v>
      </c>
      <c r="H311">
        <v>4</v>
      </c>
      <c r="I311" t="s">
        <v>3069</v>
      </c>
      <c r="J311">
        <v>2199.04</v>
      </c>
    </row>
    <row r="312" spans="1:10" x14ac:dyDescent="0.25">
      <c r="A312" t="s">
        <v>320</v>
      </c>
      <c r="B312" t="s">
        <v>1520</v>
      </c>
      <c r="C312" t="s">
        <v>2403</v>
      </c>
      <c r="D312">
        <v>3</v>
      </c>
      <c r="E312">
        <v>132.47999999999999</v>
      </c>
      <c r="F312" t="s">
        <v>2668</v>
      </c>
      <c r="G312" t="s">
        <v>3062</v>
      </c>
      <c r="H312">
        <v>4</v>
      </c>
      <c r="I312" t="s">
        <v>3067</v>
      </c>
      <c r="J312">
        <v>397.43999999999988</v>
      </c>
    </row>
    <row r="313" spans="1:10" x14ac:dyDescent="0.25">
      <c r="A313" t="s">
        <v>321</v>
      </c>
      <c r="B313" t="s">
        <v>1521</v>
      </c>
      <c r="C313" t="s">
        <v>2405</v>
      </c>
      <c r="D313">
        <v>5</v>
      </c>
      <c r="E313">
        <v>489.37</v>
      </c>
      <c r="F313" t="s">
        <v>2669</v>
      </c>
      <c r="G313" t="s">
        <v>3062</v>
      </c>
      <c r="H313">
        <v>8</v>
      </c>
      <c r="I313" t="s">
        <v>3066</v>
      </c>
      <c r="J313">
        <v>2446.85</v>
      </c>
    </row>
    <row r="314" spans="1:10" x14ac:dyDescent="0.25">
      <c r="A314" t="s">
        <v>322</v>
      </c>
      <c r="B314" t="s">
        <v>1522</v>
      </c>
      <c r="C314" t="s">
        <v>2403</v>
      </c>
      <c r="D314">
        <v>5</v>
      </c>
      <c r="E314">
        <v>66.31</v>
      </c>
      <c r="F314" t="s">
        <v>2602</v>
      </c>
      <c r="G314" t="s">
        <v>3064</v>
      </c>
      <c r="H314">
        <v>7</v>
      </c>
      <c r="I314" t="s">
        <v>3067</v>
      </c>
      <c r="J314">
        <v>331.55</v>
      </c>
    </row>
    <row r="315" spans="1:10" x14ac:dyDescent="0.25">
      <c r="A315" t="s">
        <v>323</v>
      </c>
      <c r="B315" t="s">
        <v>1523</v>
      </c>
      <c r="C315" t="s">
        <v>2402</v>
      </c>
      <c r="D315">
        <v>2</v>
      </c>
      <c r="E315">
        <v>434.3</v>
      </c>
      <c r="F315" t="s">
        <v>2670</v>
      </c>
      <c r="G315" t="s">
        <v>3065</v>
      </c>
      <c r="H315">
        <v>7</v>
      </c>
      <c r="I315" t="s">
        <v>3066</v>
      </c>
      <c r="J315">
        <v>868.6</v>
      </c>
    </row>
    <row r="316" spans="1:10" x14ac:dyDescent="0.25">
      <c r="A316" t="s">
        <v>324</v>
      </c>
      <c r="B316" t="s">
        <v>1524</v>
      </c>
      <c r="C316" t="s">
        <v>2405</v>
      </c>
      <c r="D316">
        <v>4</v>
      </c>
      <c r="E316">
        <v>153.09</v>
      </c>
      <c r="F316" t="s">
        <v>2671</v>
      </c>
      <c r="G316" t="s">
        <v>3062</v>
      </c>
      <c r="H316">
        <v>4</v>
      </c>
      <c r="I316" t="s">
        <v>3067</v>
      </c>
      <c r="J316">
        <v>612.36</v>
      </c>
    </row>
    <row r="317" spans="1:10" x14ac:dyDescent="0.25">
      <c r="A317" t="s">
        <v>325</v>
      </c>
      <c r="B317" t="s">
        <v>1525</v>
      </c>
      <c r="C317" t="s">
        <v>2401</v>
      </c>
      <c r="D317">
        <v>5</v>
      </c>
      <c r="E317">
        <v>91.67</v>
      </c>
      <c r="F317" t="s">
        <v>2672</v>
      </c>
      <c r="G317" t="s">
        <v>3062</v>
      </c>
      <c r="H317">
        <v>9</v>
      </c>
      <c r="I317" t="s">
        <v>3068</v>
      </c>
      <c r="J317">
        <v>458.35</v>
      </c>
    </row>
    <row r="318" spans="1:10" x14ac:dyDescent="0.25">
      <c r="A318" t="s">
        <v>326</v>
      </c>
      <c r="B318" t="s">
        <v>1526</v>
      </c>
      <c r="C318" t="s">
        <v>2405</v>
      </c>
      <c r="D318">
        <v>4</v>
      </c>
      <c r="E318">
        <v>275.27999999999997</v>
      </c>
      <c r="F318" t="s">
        <v>2673</v>
      </c>
      <c r="G318" t="s">
        <v>3064</v>
      </c>
      <c r="H318">
        <v>9</v>
      </c>
      <c r="I318" t="s">
        <v>3069</v>
      </c>
      <c r="J318">
        <v>1101.1199999999999</v>
      </c>
    </row>
    <row r="319" spans="1:10" x14ac:dyDescent="0.25">
      <c r="A319" t="s">
        <v>327</v>
      </c>
      <c r="B319" t="s">
        <v>1527</v>
      </c>
      <c r="C319" t="s">
        <v>2399</v>
      </c>
      <c r="D319">
        <v>2</v>
      </c>
      <c r="E319">
        <v>139.94999999999999</v>
      </c>
      <c r="F319" t="s">
        <v>2674</v>
      </c>
      <c r="G319" t="s">
        <v>3062</v>
      </c>
      <c r="H319">
        <v>5</v>
      </c>
      <c r="I319" t="s">
        <v>3066</v>
      </c>
      <c r="J319">
        <v>279.89999999999998</v>
      </c>
    </row>
    <row r="320" spans="1:10" x14ac:dyDescent="0.25">
      <c r="A320" t="s">
        <v>328</v>
      </c>
      <c r="B320" t="s">
        <v>1528</v>
      </c>
      <c r="C320" t="s">
        <v>2402</v>
      </c>
      <c r="D320">
        <v>3</v>
      </c>
      <c r="E320">
        <v>148.72</v>
      </c>
      <c r="F320" t="s">
        <v>2592</v>
      </c>
      <c r="G320" t="s">
        <v>3061</v>
      </c>
      <c r="H320">
        <v>7</v>
      </c>
      <c r="I320" t="s">
        <v>3070</v>
      </c>
      <c r="J320">
        <v>446.16</v>
      </c>
    </row>
    <row r="321" spans="1:10" x14ac:dyDescent="0.25">
      <c r="A321" t="s">
        <v>329</v>
      </c>
      <c r="B321" t="s">
        <v>1529</v>
      </c>
      <c r="C321" t="s">
        <v>2404</v>
      </c>
      <c r="D321">
        <v>2</v>
      </c>
      <c r="E321">
        <v>563.05999999999995</v>
      </c>
      <c r="F321" t="s">
        <v>2675</v>
      </c>
      <c r="G321" t="s">
        <v>3065</v>
      </c>
      <c r="H321">
        <v>6</v>
      </c>
      <c r="I321" t="s">
        <v>3066</v>
      </c>
      <c r="J321">
        <v>1126.1199999999999</v>
      </c>
    </row>
    <row r="322" spans="1:10" x14ac:dyDescent="0.25">
      <c r="A322" t="s">
        <v>330</v>
      </c>
      <c r="B322" t="s">
        <v>1530</v>
      </c>
      <c r="C322" t="s">
        <v>2403</v>
      </c>
      <c r="D322">
        <v>1</v>
      </c>
      <c r="E322">
        <v>625.51</v>
      </c>
      <c r="F322" t="s">
        <v>2676</v>
      </c>
      <c r="G322" t="s">
        <v>3063</v>
      </c>
      <c r="H322">
        <v>1</v>
      </c>
      <c r="I322" t="s">
        <v>3069</v>
      </c>
      <c r="J322">
        <v>625.51</v>
      </c>
    </row>
    <row r="323" spans="1:10" x14ac:dyDescent="0.25">
      <c r="A323" t="s">
        <v>331</v>
      </c>
      <c r="B323" t="s">
        <v>1531</v>
      </c>
      <c r="C323" t="s">
        <v>2400</v>
      </c>
      <c r="D323">
        <v>4</v>
      </c>
      <c r="E323">
        <v>152.29</v>
      </c>
      <c r="F323" t="s">
        <v>2666</v>
      </c>
      <c r="G323" t="s">
        <v>3061</v>
      </c>
      <c r="H323">
        <v>6</v>
      </c>
      <c r="I323" t="s">
        <v>3070</v>
      </c>
      <c r="J323">
        <v>609.16</v>
      </c>
    </row>
    <row r="324" spans="1:10" x14ac:dyDescent="0.25">
      <c r="A324" t="s">
        <v>332</v>
      </c>
      <c r="B324" t="s">
        <v>1532</v>
      </c>
      <c r="C324" t="s">
        <v>2400</v>
      </c>
      <c r="D324">
        <v>5</v>
      </c>
      <c r="E324">
        <v>231.82</v>
      </c>
      <c r="F324" t="s">
        <v>2674</v>
      </c>
      <c r="G324" t="s">
        <v>3061</v>
      </c>
      <c r="H324">
        <v>6</v>
      </c>
      <c r="I324" t="s">
        <v>3069</v>
      </c>
      <c r="J324">
        <v>1159.0999999999999</v>
      </c>
    </row>
    <row r="325" spans="1:10" x14ac:dyDescent="0.25">
      <c r="A325" t="s">
        <v>333</v>
      </c>
      <c r="B325" t="s">
        <v>1533</v>
      </c>
      <c r="C325" t="s">
        <v>2404</v>
      </c>
      <c r="D325">
        <v>1</v>
      </c>
      <c r="E325">
        <v>150.16999999999999</v>
      </c>
      <c r="F325" t="s">
        <v>2677</v>
      </c>
      <c r="G325" t="s">
        <v>3061</v>
      </c>
      <c r="H325">
        <v>1</v>
      </c>
      <c r="I325" t="s">
        <v>3067</v>
      </c>
      <c r="J325">
        <v>150.16999999999999</v>
      </c>
    </row>
    <row r="326" spans="1:10" x14ac:dyDescent="0.25">
      <c r="A326" t="s">
        <v>334</v>
      </c>
      <c r="B326" t="s">
        <v>1534</v>
      </c>
      <c r="C326" t="s">
        <v>2401</v>
      </c>
      <c r="D326">
        <v>3</v>
      </c>
      <c r="E326">
        <v>70.930000000000007</v>
      </c>
      <c r="F326" t="s">
        <v>2678</v>
      </c>
      <c r="G326" t="s">
        <v>3061</v>
      </c>
      <c r="H326">
        <v>5</v>
      </c>
      <c r="I326" t="s">
        <v>3067</v>
      </c>
      <c r="J326">
        <v>212.79</v>
      </c>
    </row>
    <row r="327" spans="1:10" x14ac:dyDescent="0.25">
      <c r="A327" t="s">
        <v>335</v>
      </c>
      <c r="B327" t="s">
        <v>1535</v>
      </c>
      <c r="C327" t="s">
        <v>2405</v>
      </c>
      <c r="D327">
        <v>3</v>
      </c>
      <c r="E327">
        <v>361.39</v>
      </c>
      <c r="F327" t="s">
        <v>2679</v>
      </c>
      <c r="G327" t="s">
        <v>3063</v>
      </c>
      <c r="H327">
        <v>8</v>
      </c>
      <c r="I327" t="s">
        <v>3067</v>
      </c>
      <c r="J327">
        <v>1084.17</v>
      </c>
    </row>
    <row r="328" spans="1:10" x14ac:dyDescent="0.25">
      <c r="A328" t="s">
        <v>336</v>
      </c>
      <c r="B328" t="s">
        <v>1536</v>
      </c>
      <c r="C328" t="s">
        <v>2404</v>
      </c>
      <c r="D328">
        <v>5</v>
      </c>
      <c r="E328">
        <v>670.48</v>
      </c>
      <c r="F328" t="s">
        <v>2425</v>
      </c>
      <c r="G328" t="s">
        <v>3064</v>
      </c>
      <c r="H328">
        <v>5</v>
      </c>
      <c r="I328" t="s">
        <v>3069</v>
      </c>
      <c r="J328">
        <v>3352.4</v>
      </c>
    </row>
    <row r="329" spans="1:10" x14ac:dyDescent="0.25">
      <c r="A329" t="s">
        <v>337</v>
      </c>
      <c r="B329" t="s">
        <v>1537</v>
      </c>
      <c r="C329" t="s">
        <v>2400</v>
      </c>
      <c r="D329">
        <v>1</v>
      </c>
      <c r="E329">
        <v>359.99</v>
      </c>
      <c r="F329" t="s">
        <v>2467</v>
      </c>
      <c r="G329" t="s">
        <v>3064</v>
      </c>
      <c r="H329">
        <v>5</v>
      </c>
      <c r="I329" t="s">
        <v>3068</v>
      </c>
      <c r="J329">
        <v>359.99</v>
      </c>
    </row>
    <row r="330" spans="1:10" x14ac:dyDescent="0.25">
      <c r="A330" t="s">
        <v>338</v>
      </c>
      <c r="B330" t="s">
        <v>1538</v>
      </c>
      <c r="C330" t="s">
        <v>2401</v>
      </c>
      <c r="D330">
        <v>5</v>
      </c>
      <c r="E330">
        <v>674.04</v>
      </c>
      <c r="F330" t="s">
        <v>2680</v>
      </c>
      <c r="G330" t="s">
        <v>3062</v>
      </c>
      <c r="H330">
        <v>7</v>
      </c>
      <c r="I330" t="s">
        <v>3070</v>
      </c>
      <c r="J330">
        <v>3370.2</v>
      </c>
    </row>
    <row r="331" spans="1:10" x14ac:dyDescent="0.25">
      <c r="A331" t="s">
        <v>339</v>
      </c>
      <c r="B331" t="s">
        <v>1539</v>
      </c>
      <c r="C331" t="s">
        <v>2402</v>
      </c>
      <c r="D331">
        <v>4</v>
      </c>
      <c r="E331">
        <v>283.16000000000003</v>
      </c>
      <c r="F331" t="s">
        <v>2618</v>
      </c>
      <c r="G331" t="s">
        <v>3063</v>
      </c>
      <c r="H331">
        <v>6</v>
      </c>
      <c r="I331" t="s">
        <v>3070</v>
      </c>
      <c r="J331">
        <v>1132.6400000000001</v>
      </c>
    </row>
    <row r="332" spans="1:10" x14ac:dyDescent="0.25">
      <c r="A332" t="s">
        <v>340</v>
      </c>
      <c r="B332" t="s">
        <v>1540</v>
      </c>
      <c r="C332" t="s">
        <v>2405</v>
      </c>
      <c r="D332">
        <v>5</v>
      </c>
      <c r="E332">
        <v>260.52999999999997</v>
      </c>
      <c r="F332" t="s">
        <v>2681</v>
      </c>
      <c r="G332" t="s">
        <v>3064</v>
      </c>
      <c r="H332">
        <v>5</v>
      </c>
      <c r="I332" t="s">
        <v>3066</v>
      </c>
      <c r="J332">
        <v>1302.6500000000001</v>
      </c>
    </row>
    <row r="333" spans="1:10" x14ac:dyDescent="0.25">
      <c r="A333" t="s">
        <v>341</v>
      </c>
      <c r="B333" t="s">
        <v>1541</v>
      </c>
      <c r="C333" t="s">
        <v>2403</v>
      </c>
      <c r="D333">
        <v>3</v>
      </c>
      <c r="E333">
        <v>422.13</v>
      </c>
      <c r="F333" t="s">
        <v>2518</v>
      </c>
      <c r="G333" t="s">
        <v>3062</v>
      </c>
      <c r="H333">
        <v>7</v>
      </c>
      <c r="I333" t="s">
        <v>3069</v>
      </c>
      <c r="J333">
        <v>1266.3900000000001</v>
      </c>
    </row>
    <row r="334" spans="1:10" x14ac:dyDescent="0.25">
      <c r="A334" t="s">
        <v>342</v>
      </c>
      <c r="B334" t="s">
        <v>1542</v>
      </c>
      <c r="C334" t="s">
        <v>2405</v>
      </c>
      <c r="D334">
        <v>5</v>
      </c>
      <c r="E334">
        <v>125.02</v>
      </c>
      <c r="F334" t="s">
        <v>2682</v>
      </c>
      <c r="G334" t="s">
        <v>3061</v>
      </c>
      <c r="H334">
        <v>9</v>
      </c>
      <c r="I334" t="s">
        <v>3070</v>
      </c>
      <c r="J334">
        <v>625.1</v>
      </c>
    </row>
    <row r="335" spans="1:10" x14ac:dyDescent="0.25">
      <c r="A335" t="s">
        <v>343</v>
      </c>
      <c r="B335" t="s">
        <v>1543</v>
      </c>
      <c r="C335" t="s">
        <v>2400</v>
      </c>
      <c r="D335">
        <v>1</v>
      </c>
      <c r="E335">
        <v>198.51</v>
      </c>
      <c r="F335" t="s">
        <v>2683</v>
      </c>
      <c r="G335" t="s">
        <v>3063</v>
      </c>
      <c r="H335">
        <v>5</v>
      </c>
      <c r="I335" t="s">
        <v>3066</v>
      </c>
      <c r="J335">
        <v>198.51</v>
      </c>
    </row>
    <row r="336" spans="1:10" x14ac:dyDescent="0.25">
      <c r="A336" t="s">
        <v>344</v>
      </c>
      <c r="B336" t="s">
        <v>1544</v>
      </c>
      <c r="C336" t="s">
        <v>2402</v>
      </c>
      <c r="D336">
        <v>4</v>
      </c>
      <c r="E336">
        <v>224.75</v>
      </c>
      <c r="F336" t="s">
        <v>2684</v>
      </c>
      <c r="G336" t="s">
        <v>3062</v>
      </c>
      <c r="H336">
        <v>7</v>
      </c>
      <c r="I336" t="s">
        <v>3069</v>
      </c>
      <c r="J336">
        <v>899</v>
      </c>
    </row>
    <row r="337" spans="1:10" x14ac:dyDescent="0.25">
      <c r="A337" t="s">
        <v>345</v>
      </c>
      <c r="B337" t="s">
        <v>1545</v>
      </c>
      <c r="C337" t="s">
        <v>2401</v>
      </c>
      <c r="D337">
        <v>3</v>
      </c>
      <c r="E337">
        <v>205.86</v>
      </c>
      <c r="F337" t="s">
        <v>2670</v>
      </c>
      <c r="G337" t="s">
        <v>3064</v>
      </c>
      <c r="H337">
        <v>4</v>
      </c>
      <c r="I337" t="s">
        <v>3068</v>
      </c>
      <c r="J337">
        <v>617.58000000000004</v>
      </c>
    </row>
    <row r="338" spans="1:10" x14ac:dyDescent="0.25">
      <c r="A338" t="s">
        <v>346</v>
      </c>
      <c r="B338" t="s">
        <v>1546</v>
      </c>
      <c r="C338" t="s">
        <v>2404</v>
      </c>
      <c r="D338">
        <v>1</v>
      </c>
      <c r="E338">
        <v>18.2</v>
      </c>
      <c r="F338" t="s">
        <v>2685</v>
      </c>
      <c r="G338" t="s">
        <v>3061</v>
      </c>
      <c r="H338">
        <v>4</v>
      </c>
      <c r="I338" t="s">
        <v>3066</v>
      </c>
      <c r="J338">
        <v>18.2</v>
      </c>
    </row>
    <row r="339" spans="1:10" x14ac:dyDescent="0.25">
      <c r="A339" t="s">
        <v>347</v>
      </c>
      <c r="B339" t="s">
        <v>1547</v>
      </c>
      <c r="C339" t="s">
        <v>2401</v>
      </c>
      <c r="D339">
        <v>3</v>
      </c>
      <c r="E339">
        <v>502.77</v>
      </c>
      <c r="F339" t="s">
        <v>2686</v>
      </c>
      <c r="G339" t="s">
        <v>3061</v>
      </c>
      <c r="H339">
        <v>8</v>
      </c>
      <c r="I339" t="s">
        <v>3068</v>
      </c>
      <c r="J339">
        <v>1508.31</v>
      </c>
    </row>
    <row r="340" spans="1:10" x14ac:dyDescent="0.25">
      <c r="A340" t="s">
        <v>348</v>
      </c>
      <c r="B340" t="s">
        <v>1548</v>
      </c>
      <c r="C340" t="s">
        <v>2400</v>
      </c>
      <c r="D340">
        <v>5</v>
      </c>
      <c r="E340">
        <v>305.49</v>
      </c>
      <c r="F340" t="s">
        <v>2687</v>
      </c>
      <c r="G340" t="s">
        <v>3061</v>
      </c>
      <c r="H340">
        <v>10</v>
      </c>
      <c r="I340" t="s">
        <v>3067</v>
      </c>
      <c r="J340">
        <v>1527.45</v>
      </c>
    </row>
    <row r="341" spans="1:10" x14ac:dyDescent="0.25">
      <c r="A341" t="s">
        <v>349</v>
      </c>
      <c r="B341" t="s">
        <v>1549</v>
      </c>
      <c r="C341" t="s">
        <v>2403</v>
      </c>
      <c r="D341">
        <v>2</v>
      </c>
      <c r="E341">
        <v>236.33</v>
      </c>
      <c r="F341" t="s">
        <v>2688</v>
      </c>
      <c r="G341" t="s">
        <v>3062</v>
      </c>
      <c r="H341">
        <v>3</v>
      </c>
      <c r="I341" t="s">
        <v>3066</v>
      </c>
      <c r="J341">
        <v>472.66</v>
      </c>
    </row>
    <row r="342" spans="1:10" x14ac:dyDescent="0.25">
      <c r="A342" t="s">
        <v>350</v>
      </c>
      <c r="B342" t="s">
        <v>1550</v>
      </c>
      <c r="C342" t="s">
        <v>2404</v>
      </c>
      <c r="D342">
        <v>5</v>
      </c>
      <c r="E342">
        <v>521.25</v>
      </c>
      <c r="F342" t="s">
        <v>2689</v>
      </c>
      <c r="G342" t="s">
        <v>3065</v>
      </c>
      <c r="H342">
        <v>8</v>
      </c>
      <c r="I342" t="s">
        <v>3068</v>
      </c>
      <c r="J342">
        <v>2606.25</v>
      </c>
    </row>
    <row r="343" spans="1:10" x14ac:dyDescent="0.25">
      <c r="A343" t="s">
        <v>351</v>
      </c>
      <c r="B343" t="s">
        <v>1551</v>
      </c>
      <c r="C343" t="s">
        <v>2401</v>
      </c>
      <c r="D343">
        <v>1</v>
      </c>
      <c r="E343">
        <v>167.15</v>
      </c>
      <c r="F343" t="s">
        <v>2690</v>
      </c>
      <c r="G343" t="s">
        <v>3064</v>
      </c>
      <c r="H343">
        <v>5</v>
      </c>
      <c r="I343" t="s">
        <v>3068</v>
      </c>
      <c r="J343">
        <v>167.15</v>
      </c>
    </row>
    <row r="344" spans="1:10" x14ac:dyDescent="0.25">
      <c r="A344" t="s">
        <v>352</v>
      </c>
      <c r="B344" t="s">
        <v>1552</v>
      </c>
      <c r="C344" t="s">
        <v>2399</v>
      </c>
      <c r="D344">
        <v>5</v>
      </c>
      <c r="E344">
        <v>466.42</v>
      </c>
      <c r="F344" t="s">
        <v>2691</v>
      </c>
      <c r="G344" t="s">
        <v>3064</v>
      </c>
      <c r="H344">
        <v>5</v>
      </c>
      <c r="I344" t="s">
        <v>3067</v>
      </c>
      <c r="J344">
        <v>2332.1</v>
      </c>
    </row>
    <row r="345" spans="1:10" x14ac:dyDescent="0.25">
      <c r="A345" t="s">
        <v>353</v>
      </c>
      <c r="B345" t="s">
        <v>1553</v>
      </c>
      <c r="C345" t="s">
        <v>2403</v>
      </c>
      <c r="D345">
        <v>1</v>
      </c>
      <c r="E345">
        <v>527.57000000000005</v>
      </c>
      <c r="F345" t="s">
        <v>2692</v>
      </c>
      <c r="G345" t="s">
        <v>3061</v>
      </c>
      <c r="H345">
        <v>3</v>
      </c>
      <c r="I345" t="s">
        <v>3069</v>
      </c>
      <c r="J345">
        <v>527.57000000000005</v>
      </c>
    </row>
    <row r="346" spans="1:10" x14ac:dyDescent="0.25">
      <c r="A346" t="s">
        <v>354</v>
      </c>
      <c r="B346" t="s">
        <v>1554</v>
      </c>
      <c r="C346" t="s">
        <v>2401</v>
      </c>
      <c r="D346">
        <v>3</v>
      </c>
      <c r="E346">
        <v>623.34</v>
      </c>
      <c r="F346" t="s">
        <v>2693</v>
      </c>
      <c r="G346" t="s">
        <v>3062</v>
      </c>
      <c r="H346">
        <v>3</v>
      </c>
      <c r="I346" t="s">
        <v>3066</v>
      </c>
      <c r="J346">
        <v>1870.02</v>
      </c>
    </row>
    <row r="347" spans="1:10" x14ac:dyDescent="0.25">
      <c r="A347" t="s">
        <v>355</v>
      </c>
      <c r="B347" t="s">
        <v>1555</v>
      </c>
      <c r="C347" t="s">
        <v>2401</v>
      </c>
      <c r="D347">
        <v>5</v>
      </c>
      <c r="E347">
        <v>501.26</v>
      </c>
      <c r="F347" t="s">
        <v>2694</v>
      </c>
      <c r="G347" t="s">
        <v>3064</v>
      </c>
      <c r="H347">
        <v>10</v>
      </c>
      <c r="I347" t="s">
        <v>3067</v>
      </c>
      <c r="J347">
        <v>2506.3000000000002</v>
      </c>
    </row>
    <row r="348" spans="1:10" x14ac:dyDescent="0.25">
      <c r="A348" t="s">
        <v>356</v>
      </c>
      <c r="B348" t="s">
        <v>1556</v>
      </c>
      <c r="C348" t="s">
        <v>2401</v>
      </c>
      <c r="D348">
        <v>1</v>
      </c>
      <c r="E348">
        <v>655.09</v>
      </c>
      <c r="F348" t="s">
        <v>2695</v>
      </c>
      <c r="G348" t="s">
        <v>3065</v>
      </c>
      <c r="H348">
        <v>6</v>
      </c>
      <c r="I348" t="s">
        <v>3067</v>
      </c>
      <c r="J348">
        <v>655.09</v>
      </c>
    </row>
    <row r="349" spans="1:10" x14ac:dyDescent="0.25">
      <c r="A349" t="s">
        <v>357</v>
      </c>
      <c r="B349" t="s">
        <v>1557</v>
      </c>
      <c r="C349" t="s">
        <v>2403</v>
      </c>
      <c r="D349">
        <v>4</v>
      </c>
      <c r="E349">
        <v>264.79000000000002</v>
      </c>
      <c r="F349" t="s">
        <v>2696</v>
      </c>
      <c r="G349" t="s">
        <v>3063</v>
      </c>
      <c r="H349">
        <v>5</v>
      </c>
      <c r="I349" t="s">
        <v>3070</v>
      </c>
      <c r="J349">
        <v>1059.1600000000001</v>
      </c>
    </row>
    <row r="350" spans="1:10" x14ac:dyDescent="0.25">
      <c r="A350" t="s">
        <v>358</v>
      </c>
      <c r="B350" t="s">
        <v>1558</v>
      </c>
      <c r="C350" t="s">
        <v>2404</v>
      </c>
      <c r="D350">
        <v>3</v>
      </c>
      <c r="E350">
        <v>359.73</v>
      </c>
      <c r="F350" t="s">
        <v>2697</v>
      </c>
      <c r="G350" t="s">
        <v>3061</v>
      </c>
      <c r="H350">
        <v>7</v>
      </c>
      <c r="I350" t="s">
        <v>3068</v>
      </c>
      <c r="J350">
        <v>1079.19</v>
      </c>
    </row>
    <row r="351" spans="1:10" x14ac:dyDescent="0.25">
      <c r="A351" t="s">
        <v>359</v>
      </c>
      <c r="B351" t="s">
        <v>1559</v>
      </c>
      <c r="C351" t="s">
        <v>2402</v>
      </c>
      <c r="D351">
        <v>1</v>
      </c>
      <c r="E351">
        <v>465.33</v>
      </c>
      <c r="F351" t="s">
        <v>2698</v>
      </c>
      <c r="G351" t="s">
        <v>3064</v>
      </c>
      <c r="H351">
        <v>2</v>
      </c>
      <c r="I351" t="s">
        <v>3070</v>
      </c>
      <c r="J351">
        <v>465.33</v>
      </c>
    </row>
    <row r="352" spans="1:10" x14ac:dyDescent="0.25">
      <c r="A352" t="s">
        <v>360</v>
      </c>
      <c r="B352" t="s">
        <v>1560</v>
      </c>
      <c r="C352" t="s">
        <v>2402</v>
      </c>
      <c r="D352">
        <v>2</v>
      </c>
      <c r="E352">
        <v>54.41</v>
      </c>
      <c r="F352" t="s">
        <v>2699</v>
      </c>
      <c r="G352" t="s">
        <v>3062</v>
      </c>
      <c r="H352">
        <v>6</v>
      </c>
      <c r="I352" t="s">
        <v>3066</v>
      </c>
      <c r="J352">
        <v>108.82</v>
      </c>
    </row>
    <row r="353" spans="1:10" x14ac:dyDescent="0.25">
      <c r="A353" t="s">
        <v>361</v>
      </c>
      <c r="B353" t="s">
        <v>1561</v>
      </c>
      <c r="C353" t="s">
        <v>2404</v>
      </c>
      <c r="D353">
        <v>1</v>
      </c>
      <c r="E353">
        <v>64.66</v>
      </c>
      <c r="F353" t="s">
        <v>2700</v>
      </c>
      <c r="G353" t="s">
        <v>3061</v>
      </c>
      <c r="H353">
        <v>4</v>
      </c>
      <c r="I353" t="s">
        <v>3066</v>
      </c>
      <c r="J353">
        <v>64.66</v>
      </c>
    </row>
    <row r="354" spans="1:10" x14ac:dyDescent="0.25">
      <c r="A354" t="s">
        <v>362</v>
      </c>
      <c r="B354" t="s">
        <v>1562</v>
      </c>
      <c r="C354" t="s">
        <v>2402</v>
      </c>
      <c r="D354">
        <v>5</v>
      </c>
      <c r="E354">
        <v>173.96</v>
      </c>
      <c r="F354" t="s">
        <v>2701</v>
      </c>
      <c r="G354" t="s">
        <v>3061</v>
      </c>
      <c r="H354">
        <v>8</v>
      </c>
      <c r="I354" t="s">
        <v>3066</v>
      </c>
      <c r="J354">
        <v>869.80000000000007</v>
      </c>
    </row>
    <row r="355" spans="1:10" x14ac:dyDescent="0.25">
      <c r="A355" t="s">
        <v>363</v>
      </c>
      <c r="B355" t="s">
        <v>1563</v>
      </c>
      <c r="C355" t="s">
        <v>2401</v>
      </c>
      <c r="D355">
        <v>1</v>
      </c>
      <c r="E355">
        <v>630.82000000000005</v>
      </c>
      <c r="F355" t="s">
        <v>2702</v>
      </c>
      <c r="G355" t="s">
        <v>3062</v>
      </c>
      <c r="H355">
        <v>5</v>
      </c>
      <c r="I355" t="s">
        <v>3070</v>
      </c>
      <c r="J355">
        <v>630.82000000000005</v>
      </c>
    </row>
    <row r="356" spans="1:10" x14ac:dyDescent="0.25">
      <c r="A356" t="s">
        <v>364</v>
      </c>
      <c r="B356" t="s">
        <v>1564</v>
      </c>
      <c r="C356" t="s">
        <v>2400</v>
      </c>
      <c r="D356">
        <v>1</v>
      </c>
      <c r="E356">
        <v>693.41</v>
      </c>
      <c r="F356" t="s">
        <v>2703</v>
      </c>
      <c r="G356" t="s">
        <v>3061</v>
      </c>
      <c r="H356">
        <v>4</v>
      </c>
      <c r="I356" t="s">
        <v>3066</v>
      </c>
      <c r="J356">
        <v>693.41</v>
      </c>
    </row>
    <row r="357" spans="1:10" x14ac:dyDescent="0.25">
      <c r="A357" t="s">
        <v>365</v>
      </c>
      <c r="B357" t="s">
        <v>1565</v>
      </c>
      <c r="C357" t="s">
        <v>2401</v>
      </c>
      <c r="D357">
        <v>3</v>
      </c>
      <c r="E357">
        <v>433.33</v>
      </c>
      <c r="F357" t="s">
        <v>2704</v>
      </c>
      <c r="G357" t="s">
        <v>3063</v>
      </c>
      <c r="H357">
        <v>4</v>
      </c>
      <c r="I357" t="s">
        <v>3067</v>
      </c>
      <c r="J357">
        <v>1299.99</v>
      </c>
    </row>
    <row r="358" spans="1:10" x14ac:dyDescent="0.25">
      <c r="A358" t="s">
        <v>366</v>
      </c>
      <c r="B358" t="s">
        <v>1566</v>
      </c>
      <c r="C358" t="s">
        <v>2403</v>
      </c>
      <c r="D358">
        <v>5</v>
      </c>
      <c r="E358">
        <v>374.58</v>
      </c>
      <c r="F358" t="s">
        <v>2705</v>
      </c>
      <c r="G358" t="s">
        <v>3064</v>
      </c>
      <c r="H358">
        <v>10</v>
      </c>
      <c r="I358" t="s">
        <v>3066</v>
      </c>
      <c r="J358">
        <v>1872.9</v>
      </c>
    </row>
    <row r="359" spans="1:10" x14ac:dyDescent="0.25">
      <c r="A359" t="s">
        <v>367</v>
      </c>
      <c r="B359" t="s">
        <v>1567</v>
      </c>
      <c r="C359" t="s">
        <v>2404</v>
      </c>
      <c r="D359">
        <v>5</v>
      </c>
      <c r="E359">
        <v>408.56</v>
      </c>
      <c r="F359" t="s">
        <v>2688</v>
      </c>
      <c r="G359" t="s">
        <v>3061</v>
      </c>
      <c r="H359">
        <v>8</v>
      </c>
      <c r="I359" t="s">
        <v>3066</v>
      </c>
      <c r="J359">
        <v>2042.8</v>
      </c>
    </row>
    <row r="360" spans="1:10" x14ac:dyDescent="0.25">
      <c r="A360" t="s">
        <v>368</v>
      </c>
      <c r="B360" t="s">
        <v>1568</v>
      </c>
      <c r="C360" t="s">
        <v>2401</v>
      </c>
      <c r="D360">
        <v>2</v>
      </c>
      <c r="E360">
        <v>183.67</v>
      </c>
      <c r="F360" t="s">
        <v>2706</v>
      </c>
      <c r="G360" t="s">
        <v>3062</v>
      </c>
      <c r="H360">
        <v>3</v>
      </c>
      <c r="I360" t="s">
        <v>3070</v>
      </c>
      <c r="J360">
        <v>367.34</v>
      </c>
    </row>
    <row r="361" spans="1:10" x14ac:dyDescent="0.25">
      <c r="A361" t="s">
        <v>369</v>
      </c>
      <c r="B361" t="s">
        <v>1569</v>
      </c>
      <c r="C361" t="s">
        <v>2405</v>
      </c>
      <c r="D361">
        <v>4</v>
      </c>
      <c r="E361">
        <v>606.57000000000005</v>
      </c>
      <c r="F361" t="s">
        <v>2707</v>
      </c>
      <c r="G361" t="s">
        <v>3061</v>
      </c>
      <c r="H361">
        <v>5</v>
      </c>
      <c r="I361" t="s">
        <v>3067</v>
      </c>
      <c r="J361">
        <v>2426.2800000000002</v>
      </c>
    </row>
    <row r="362" spans="1:10" x14ac:dyDescent="0.25">
      <c r="A362" t="s">
        <v>370</v>
      </c>
      <c r="B362" t="s">
        <v>1570</v>
      </c>
      <c r="C362" t="s">
        <v>2400</v>
      </c>
      <c r="D362">
        <v>4</v>
      </c>
      <c r="E362">
        <v>589.57000000000005</v>
      </c>
      <c r="F362" t="s">
        <v>2708</v>
      </c>
      <c r="G362" t="s">
        <v>3065</v>
      </c>
      <c r="H362">
        <v>8</v>
      </c>
      <c r="I362" t="s">
        <v>3066</v>
      </c>
      <c r="J362">
        <v>2358.2800000000002</v>
      </c>
    </row>
    <row r="363" spans="1:10" x14ac:dyDescent="0.25">
      <c r="A363" t="s">
        <v>371</v>
      </c>
      <c r="B363" t="s">
        <v>1571</v>
      </c>
      <c r="C363" t="s">
        <v>2403</v>
      </c>
      <c r="D363">
        <v>5</v>
      </c>
      <c r="E363">
        <v>659.85</v>
      </c>
      <c r="F363" t="s">
        <v>2709</v>
      </c>
      <c r="G363" t="s">
        <v>3063</v>
      </c>
      <c r="H363">
        <v>9</v>
      </c>
      <c r="I363" t="s">
        <v>3069</v>
      </c>
      <c r="J363">
        <v>3299.25</v>
      </c>
    </row>
    <row r="364" spans="1:10" x14ac:dyDescent="0.25">
      <c r="A364" t="s">
        <v>372</v>
      </c>
      <c r="B364" t="s">
        <v>1572</v>
      </c>
      <c r="C364" t="s">
        <v>2399</v>
      </c>
      <c r="D364">
        <v>4</v>
      </c>
      <c r="E364">
        <v>206.84</v>
      </c>
      <c r="F364" t="s">
        <v>2710</v>
      </c>
      <c r="G364" t="s">
        <v>3065</v>
      </c>
      <c r="H364">
        <v>5</v>
      </c>
      <c r="I364" t="s">
        <v>3066</v>
      </c>
      <c r="J364">
        <v>827.36</v>
      </c>
    </row>
    <row r="365" spans="1:10" x14ac:dyDescent="0.25">
      <c r="A365" t="s">
        <v>373</v>
      </c>
      <c r="B365" t="s">
        <v>1573</v>
      </c>
      <c r="C365" t="s">
        <v>2404</v>
      </c>
      <c r="D365">
        <v>5</v>
      </c>
      <c r="E365">
        <v>113.87</v>
      </c>
      <c r="F365" t="s">
        <v>2448</v>
      </c>
      <c r="G365" t="s">
        <v>3063</v>
      </c>
      <c r="H365">
        <v>6</v>
      </c>
      <c r="I365" t="s">
        <v>3068</v>
      </c>
      <c r="J365">
        <v>569.35</v>
      </c>
    </row>
    <row r="366" spans="1:10" x14ac:dyDescent="0.25">
      <c r="A366" t="s">
        <v>374</v>
      </c>
      <c r="B366" t="s">
        <v>1574</v>
      </c>
      <c r="C366" t="s">
        <v>2400</v>
      </c>
      <c r="D366">
        <v>5</v>
      </c>
      <c r="E366">
        <v>628.74</v>
      </c>
      <c r="F366" t="s">
        <v>2646</v>
      </c>
      <c r="G366" t="s">
        <v>3065</v>
      </c>
      <c r="H366">
        <v>9</v>
      </c>
      <c r="I366" t="s">
        <v>3069</v>
      </c>
      <c r="J366">
        <v>3143.7</v>
      </c>
    </row>
    <row r="367" spans="1:10" x14ac:dyDescent="0.25">
      <c r="A367" t="s">
        <v>375</v>
      </c>
      <c r="B367" t="s">
        <v>1575</v>
      </c>
      <c r="C367" t="s">
        <v>2400</v>
      </c>
      <c r="D367">
        <v>1</v>
      </c>
      <c r="E367">
        <v>678.38</v>
      </c>
      <c r="F367" t="s">
        <v>2682</v>
      </c>
      <c r="G367" t="s">
        <v>3063</v>
      </c>
      <c r="H367">
        <v>4</v>
      </c>
      <c r="I367" t="s">
        <v>3067</v>
      </c>
      <c r="J367">
        <v>678.38</v>
      </c>
    </row>
    <row r="368" spans="1:10" x14ac:dyDescent="0.25">
      <c r="A368" t="s">
        <v>376</v>
      </c>
      <c r="B368" t="s">
        <v>1576</v>
      </c>
      <c r="C368" t="s">
        <v>2403</v>
      </c>
      <c r="D368">
        <v>3</v>
      </c>
      <c r="E368">
        <v>602.24</v>
      </c>
      <c r="F368" t="s">
        <v>2711</v>
      </c>
      <c r="G368" t="s">
        <v>3061</v>
      </c>
      <c r="H368">
        <v>8</v>
      </c>
      <c r="I368" t="s">
        <v>3067</v>
      </c>
      <c r="J368">
        <v>1806.72</v>
      </c>
    </row>
    <row r="369" spans="1:10" x14ac:dyDescent="0.25">
      <c r="A369" t="s">
        <v>377</v>
      </c>
      <c r="B369" t="s">
        <v>1577</v>
      </c>
      <c r="C369" t="s">
        <v>2404</v>
      </c>
      <c r="D369">
        <v>5</v>
      </c>
      <c r="E369">
        <v>658.77</v>
      </c>
      <c r="F369" t="s">
        <v>2626</v>
      </c>
      <c r="G369" t="s">
        <v>3064</v>
      </c>
      <c r="H369">
        <v>10</v>
      </c>
      <c r="I369" t="s">
        <v>3066</v>
      </c>
      <c r="J369">
        <v>3293.85</v>
      </c>
    </row>
    <row r="370" spans="1:10" x14ac:dyDescent="0.25">
      <c r="A370" t="s">
        <v>378</v>
      </c>
      <c r="B370" t="s">
        <v>1578</v>
      </c>
      <c r="C370" t="s">
        <v>2399</v>
      </c>
      <c r="D370">
        <v>3</v>
      </c>
      <c r="E370">
        <v>271.02</v>
      </c>
      <c r="F370" t="s">
        <v>2712</v>
      </c>
      <c r="G370" t="s">
        <v>3063</v>
      </c>
      <c r="H370">
        <v>6</v>
      </c>
      <c r="I370" t="s">
        <v>3070</v>
      </c>
      <c r="J370">
        <v>813.06</v>
      </c>
    </row>
    <row r="371" spans="1:10" x14ac:dyDescent="0.25">
      <c r="A371" t="s">
        <v>379</v>
      </c>
      <c r="B371" t="s">
        <v>1579</v>
      </c>
      <c r="C371" t="s">
        <v>2399</v>
      </c>
      <c r="D371">
        <v>5</v>
      </c>
      <c r="E371">
        <v>375.25</v>
      </c>
      <c r="F371" t="s">
        <v>2713</v>
      </c>
      <c r="G371" t="s">
        <v>3064</v>
      </c>
      <c r="H371">
        <v>9</v>
      </c>
      <c r="I371" t="s">
        <v>3068</v>
      </c>
      <c r="J371">
        <v>1876.25</v>
      </c>
    </row>
    <row r="372" spans="1:10" x14ac:dyDescent="0.25">
      <c r="A372" t="s">
        <v>380</v>
      </c>
      <c r="B372" t="s">
        <v>1580</v>
      </c>
      <c r="C372" t="s">
        <v>2400</v>
      </c>
      <c r="D372">
        <v>1</v>
      </c>
      <c r="E372">
        <v>312.11</v>
      </c>
      <c r="F372" t="s">
        <v>2714</v>
      </c>
      <c r="G372" t="s">
        <v>3062</v>
      </c>
      <c r="H372">
        <v>4</v>
      </c>
      <c r="I372" t="s">
        <v>3069</v>
      </c>
      <c r="J372">
        <v>312.11</v>
      </c>
    </row>
    <row r="373" spans="1:10" x14ac:dyDescent="0.25">
      <c r="A373" t="s">
        <v>381</v>
      </c>
      <c r="B373" t="s">
        <v>1581</v>
      </c>
      <c r="C373" t="s">
        <v>2400</v>
      </c>
      <c r="D373">
        <v>5</v>
      </c>
      <c r="E373">
        <v>307.76</v>
      </c>
      <c r="F373" t="s">
        <v>2418</v>
      </c>
      <c r="G373" t="s">
        <v>3064</v>
      </c>
      <c r="H373">
        <v>9</v>
      </c>
      <c r="I373" t="s">
        <v>3070</v>
      </c>
      <c r="J373">
        <v>1538.8</v>
      </c>
    </row>
    <row r="374" spans="1:10" x14ac:dyDescent="0.25">
      <c r="A374" t="s">
        <v>382</v>
      </c>
      <c r="B374" t="s">
        <v>1582</v>
      </c>
      <c r="C374" t="s">
        <v>2402</v>
      </c>
      <c r="D374">
        <v>3</v>
      </c>
      <c r="E374">
        <v>483.53</v>
      </c>
      <c r="F374" t="s">
        <v>2715</v>
      </c>
      <c r="G374" t="s">
        <v>3065</v>
      </c>
      <c r="H374">
        <v>4</v>
      </c>
      <c r="I374" t="s">
        <v>3067</v>
      </c>
      <c r="J374">
        <v>1450.59</v>
      </c>
    </row>
    <row r="375" spans="1:10" x14ac:dyDescent="0.25">
      <c r="A375" t="s">
        <v>383</v>
      </c>
      <c r="B375" t="s">
        <v>1583</v>
      </c>
      <c r="C375" t="s">
        <v>2404</v>
      </c>
      <c r="D375">
        <v>3</v>
      </c>
      <c r="E375">
        <v>341.15</v>
      </c>
      <c r="F375" t="s">
        <v>2716</v>
      </c>
      <c r="G375" t="s">
        <v>3065</v>
      </c>
      <c r="H375">
        <v>4</v>
      </c>
      <c r="I375" t="s">
        <v>3066</v>
      </c>
      <c r="J375">
        <v>1023.45</v>
      </c>
    </row>
    <row r="376" spans="1:10" x14ac:dyDescent="0.25">
      <c r="A376" t="s">
        <v>384</v>
      </c>
      <c r="B376" t="s">
        <v>1584</v>
      </c>
      <c r="C376" t="s">
        <v>2399</v>
      </c>
      <c r="D376">
        <v>1</v>
      </c>
      <c r="E376">
        <v>571.9</v>
      </c>
      <c r="F376" t="s">
        <v>2473</v>
      </c>
      <c r="G376" t="s">
        <v>3064</v>
      </c>
      <c r="H376">
        <v>1</v>
      </c>
      <c r="I376" t="s">
        <v>3066</v>
      </c>
      <c r="J376">
        <v>571.9</v>
      </c>
    </row>
    <row r="377" spans="1:10" x14ac:dyDescent="0.25">
      <c r="A377" t="s">
        <v>385</v>
      </c>
      <c r="B377" t="s">
        <v>1585</v>
      </c>
      <c r="C377" t="s">
        <v>2399</v>
      </c>
      <c r="D377">
        <v>4</v>
      </c>
      <c r="E377">
        <v>95.03</v>
      </c>
      <c r="F377" t="s">
        <v>2717</v>
      </c>
      <c r="G377" t="s">
        <v>3062</v>
      </c>
      <c r="H377">
        <v>8</v>
      </c>
      <c r="I377" t="s">
        <v>3069</v>
      </c>
      <c r="J377">
        <v>380.12</v>
      </c>
    </row>
    <row r="378" spans="1:10" x14ac:dyDescent="0.25">
      <c r="A378" t="s">
        <v>386</v>
      </c>
      <c r="B378" t="s">
        <v>1586</v>
      </c>
      <c r="C378" t="s">
        <v>2399</v>
      </c>
      <c r="D378">
        <v>5</v>
      </c>
      <c r="E378">
        <v>201.22</v>
      </c>
      <c r="F378" t="s">
        <v>2718</v>
      </c>
      <c r="G378" t="s">
        <v>3061</v>
      </c>
      <c r="H378">
        <v>6</v>
      </c>
      <c r="I378" t="s">
        <v>3069</v>
      </c>
      <c r="J378">
        <v>1006.1</v>
      </c>
    </row>
    <row r="379" spans="1:10" x14ac:dyDescent="0.25">
      <c r="A379" t="s">
        <v>387</v>
      </c>
      <c r="B379" t="s">
        <v>1587</v>
      </c>
      <c r="C379" t="s">
        <v>2399</v>
      </c>
      <c r="D379">
        <v>1</v>
      </c>
      <c r="E379">
        <v>260.26</v>
      </c>
      <c r="F379" t="s">
        <v>2667</v>
      </c>
      <c r="G379" t="s">
        <v>3062</v>
      </c>
      <c r="H379">
        <v>5</v>
      </c>
      <c r="I379" t="s">
        <v>3066</v>
      </c>
      <c r="J379">
        <v>260.26</v>
      </c>
    </row>
    <row r="380" spans="1:10" x14ac:dyDescent="0.25">
      <c r="A380" t="s">
        <v>388</v>
      </c>
      <c r="B380" t="s">
        <v>1588</v>
      </c>
      <c r="C380" t="s">
        <v>2402</v>
      </c>
      <c r="D380">
        <v>5</v>
      </c>
      <c r="E380">
        <v>64.5</v>
      </c>
      <c r="F380" t="s">
        <v>2719</v>
      </c>
      <c r="G380" t="s">
        <v>3063</v>
      </c>
      <c r="H380">
        <v>8</v>
      </c>
      <c r="I380" t="s">
        <v>3066</v>
      </c>
      <c r="J380">
        <v>322.5</v>
      </c>
    </row>
    <row r="381" spans="1:10" x14ac:dyDescent="0.25">
      <c r="A381" t="s">
        <v>389</v>
      </c>
      <c r="B381" t="s">
        <v>1589</v>
      </c>
      <c r="C381" t="s">
        <v>2400</v>
      </c>
      <c r="D381">
        <v>3</v>
      </c>
      <c r="E381">
        <v>297.67</v>
      </c>
      <c r="F381" t="s">
        <v>2567</v>
      </c>
      <c r="G381" t="s">
        <v>3062</v>
      </c>
      <c r="H381">
        <v>6</v>
      </c>
      <c r="I381" t="s">
        <v>3070</v>
      </c>
      <c r="J381">
        <v>893.01</v>
      </c>
    </row>
    <row r="382" spans="1:10" x14ac:dyDescent="0.25">
      <c r="A382" t="s">
        <v>390</v>
      </c>
      <c r="B382" t="s">
        <v>1590</v>
      </c>
      <c r="C382" t="s">
        <v>2403</v>
      </c>
      <c r="D382">
        <v>4</v>
      </c>
      <c r="E382">
        <v>331.9</v>
      </c>
      <c r="F382" t="s">
        <v>2636</v>
      </c>
      <c r="G382" t="s">
        <v>3065</v>
      </c>
      <c r="H382">
        <v>5</v>
      </c>
      <c r="I382" t="s">
        <v>3066</v>
      </c>
      <c r="J382">
        <v>1327.6</v>
      </c>
    </row>
    <row r="383" spans="1:10" x14ac:dyDescent="0.25">
      <c r="A383" t="s">
        <v>391</v>
      </c>
      <c r="B383" t="s">
        <v>1591</v>
      </c>
      <c r="C383" t="s">
        <v>2402</v>
      </c>
      <c r="D383">
        <v>1</v>
      </c>
      <c r="E383">
        <v>191.76</v>
      </c>
      <c r="F383" t="s">
        <v>2450</v>
      </c>
      <c r="G383" t="s">
        <v>3063</v>
      </c>
      <c r="H383">
        <v>1</v>
      </c>
      <c r="I383" t="s">
        <v>3066</v>
      </c>
      <c r="J383">
        <v>191.76</v>
      </c>
    </row>
    <row r="384" spans="1:10" x14ac:dyDescent="0.25">
      <c r="A384" t="s">
        <v>392</v>
      </c>
      <c r="B384" t="s">
        <v>1592</v>
      </c>
      <c r="C384" t="s">
        <v>2403</v>
      </c>
      <c r="D384">
        <v>4</v>
      </c>
      <c r="E384">
        <v>263.08999999999997</v>
      </c>
      <c r="F384" t="s">
        <v>2720</v>
      </c>
      <c r="G384" t="s">
        <v>3061</v>
      </c>
      <c r="H384">
        <v>8</v>
      </c>
      <c r="I384" t="s">
        <v>3070</v>
      </c>
      <c r="J384">
        <v>1052.3599999999999</v>
      </c>
    </row>
    <row r="385" spans="1:10" x14ac:dyDescent="0.25">
      <c r="A385" t="s">
        <v>393</v>
      </c>
      <c r="B385" t="s">
        <v>1593</v>
      </c>
      <c r="C385" t="s">
        <v>2402</v>
      </c>
      <c r="D385">
        <v>4</v>
      </c>
      <c r="E385">
        <v>393.8</v>
      </c>
      <c r="F385" t="s">
        <v>2493</v>
      </c>
      <c r="G385" t="s">
        <v>3063</v>
      </c>
      <c r="H385">
        <v>7</v>
      </c>
      <c r="I385" t="s">
        <v>3068</v>
      </c>
      <c r="J385">
        <v>1575.2</v>
      </c>
    </row>
    <row r="386" spans="1:10" x14ac:dyDescent="0.25">
      <c r="A386" t="s">
        <v>394</v>
      </c>
      <c r="B386" t="s">
        <v>1594</v>
      </c>
      <c r="C386" t="s">
        <v>2402</v>
      </c>
      <c r="D386">
        <v>3</v>
      </c>
      <c r="E386">
        <v>553.57000000000005</v>
      </c>
      <c r="F386" t="s">
        <v>2721</v>
      </c>
      <c r="G386" t="s">
        <v>3063</v>
      </c>
      <c r="H386">
        <v>4</v>
      </c>
      <c r="I386" t="s">
        <v>3069</v>
      </c>
      <c r="J386">
        <v>1660.71</v>
      </c>
    </row>
    <row r="387" spans="1:10" x14ac:dyDescent="0.25">
      <c r="A387" t="s">
        <v>395</v>
      </c>
      <c r="B387" t="s">
        <v>1595</v>
      </c>
      <c r="C387" t="s">
        <v>2402</v>
      </c>
      <c r="D387">
        <v>5</v>
      </c>
      <c r="E387">
        <v>191.63</v>
      </c>
      <c r="F387" t="s">
        <v>2466</v>
      </c>
      <c r="G387" t="s">
        <v>3064</v>
      </c>
      <c r="H387">
        <v>6</v>
      </c>
      <c r="I387" t="s">
        <v>3069</v>
      </c>
      <c r="J387">
        <v>958.15</v>
      </c>
    </row>
    <row r="388" spans="1:10" x14ac:dyDescent="0.25">
      <c r="A388" t="s">
        <v>396</v>
      </c>
      <c r="B388" t="s">
        <v>1596</v>
      </c>
      <c r="C388" t="s">
        <v>2401</v>
      </c>
      <c r="D388">
        <v>1</v>
      </c>
      <c r="E388">
        <v>93.02</v>
      </c>
      <c r="F388" t="s">
        <v>2722</v>
      </c>
      <c r="G388" t="s">
        <v>3062</v>
      </c>
      <c r="H388">
        <v>4</v>
      </c>
      <c r="I388" t="s">
        <v>3068</v>
      </c>
      <c r="J388">
        <v>93.02</v>
      </c>
    </row>
    <row r="389" spans="1:10" x14ac:dyDescent="0.25">
      <c r="A389" t="s">
        <v>397</v>
      </c>
      <c r="B389" t="s">
        <v>1597</v>
      </c>
      <c r="C389" t="s">
        <v>2403</v>
      </c>
      <c r="D389">
        <v>2</v>
      </c>
      <c r="E389">
        <v>39.53</v>
      </c>
      <c r="F389" t="s">
        <v>2414</v>
      </c>
      <c r="G389" t="s">
        <v>3063</v>
      </c>
      <c r="H389">
        <v>3</v>
      </c>
      <c r="I389" t="s">
        <v>3070</v>
      </c>
      <c r="J389">
        <v>79.06</v>
      </c>
    </row>
    <row r="390" spans="1:10" x14ac:dyDescent="0.25">
      <c r="A390" t="s">
        <v>398</v>
      </c>
      <c r="B390" t="s">
        <v>1598</v>
      </c>
      <c r="C390" t="s">
        <v>2403</v>
      </c>
      <c r="D390">
        <v>3</v>
      </c>
      <c r="E390">
        <v>633.97</v>
      </c>
      <c r="F390" t="s">
        <v>2500</v>
      </c>
      <c r="G390" t="s">
        <v>3065</v>
      </c>
      <c r="H390">
        <v>7</v>
      </c>
      <c r="I390" t="s">
        <v>3069</v>
      </c>
      <c r="J390">
        <v>1901.91</v>
      </c>
    </row>
    <row r="391" spans="1:10" x14ac:dyDescent="0.25">
      <c r="A391" t="s">
        <v>399</v>
      </c>
      <c r="B391" t="s">
        <v>1599</v>
      </c>
      <c r="C391" t="s">
        <v>2405</v>
      </c>
      <c r="D391">
        <v>4</v>
      </c>
      <c r="E391">
        <v>697.5</v>
      </c>
      <c r="F391" t="s">
        <v>2723</v>
      </c>
      <c r="G391" t="s">
        <v>3065</v>
      </c>
      <c r="H391">
        <v>7</v>
      </c>
      <c r="I391" t="s">
        <v>3067</v>
      </c>
      <c r="J391">
        <v>2790</v>
      </c>
    </row>
    <row r="392" spans="1:10" x14ac:dyDescent="0.25">
      <c r="A392" t="s">
        <v>400</v>
      </c>
      <c r="B392" t="s">
        <v>1600</v>
      </c>
      <c r="C392" t="s">
        <v>2403</v>
      </c>
      <c r="D392">
        <v>5</v>
      </c>
      <c r="E392">
        <v>508.69</v>
      </c>
      <c r="F392" t="s">
        <v>2697</v>
      </c>
      <c r="G392" t="s">
        <v>3065</v>
      </c>
      <c r="H392">
        <v>10</v>
      </c>
      <c r="I392" t="s">
        <v>3070</v>
      </c>
      <c r="J392">
        <v>2543.4499999999998</v>
      </c>
    </row>
    <row r="393" spans="1:10" x14ac:dyDescent="0.25">
      <c r="A393" t="s">
        <v>401</v>
      </c>
      <c r="B393" t="s">
        <v>1601</v>
      </c>
      <c r="C393" t="s">
        <v>2404</v>
      </c>
      <c r="D393">
        <v>2</v>
      </c>
      <c r="E393">
        <v>527.46</v>
      </c>
      <c r="F393" t="s">
        <v>2650</v>
      </c>
      <c r="G393" t="s">
        <v>3061</v>
      </c>
      <c r="H393">
        <v>3</v>
      </c>
      <c r="I393" t="s">
        <v>3067</v>
      </c>
      <c r="J393">
        <v>1054.92</v>
      </c>
    </row>
    <row r="394" spans="1:10" x14ac:dyDescent="0.25">
      <c r="A394" t="s">
        <v>402</v>
      </c>
      <c r="B394" t="s">
        <v>1602</v>
      </c>
      <c r="C394" t="s">
        <v>2400</v>
      </c>
      <c r="D394">
        <v>1</v>
      </c>
      <c r="E394">
        <v>627.20000000000005</v>
      </c>
      <c r="F394" t="s">
        <v>2709</v>
      </c>
      <c r="G394" t="s">
        <v>3062</v>
      </c>
      <c r="H394">
        <v>1</v>
      </c>
      <c r="I394" t="s">
        <v>3068</v>
      </c>
      <c r="J394">
        <v>627.20000000000005</v>
      </c>
    </row>
    <row r="395" spans="1:10" x14ac:dyDescent="0.25">
      <c r="A395" t="s">
        <v>403</v>
      </c>
      <c r="B395" t="s">
        <v>1603</v>
      </c>
      <c r="C395" t="s">
        <v>2403</v>
      </c>
      <c r="D395">
        <v>1</v>
      </c>
      <c r="E395">
        <v>75.010000000000005</v>
      </c>
      <c r="F395" t="s">
        <v>2724</v>
      </c>
      <c r="G395" t="s">
        <v>3063</v>
      </c>
      <c r="H395">
        <v>3</v>
      </c>
      <c r="I395" t="s">
        <v>3070</v>
      </c>
      <c r="J395">
        <v>75.010000000000005</v>
      </c>
    </row>
    <row r="396" spans="1:10" x14ac:dyDescent="0.25">
      <c r="A396" t="s">
        <v>404</v>
      </c>
      <c r="B396" t="s">
        <v>1604</v>
      </c>
      <c r="C396" t="s">
        <v>2405</v>
      </c>
      <c r="D396">
        <v>5</v>
      </c>
      <c r="E396">
        <v>529.54999999999995</v>
      </c>
      <c r="F396" t="s">
        <v>2725</v>
      </c>
      <c r="G396" t="s">
        <v>3064</v>
      </c>
      <c r="H396">
        <v>10</v>
      </c>
      <c r="I396" t="s">
        <v>3069</v>
      </c>
      <c r="J396">
        <v>2647.75</v>
      </c>
    </row>
    <row r="397" spans="1:10" x14ac:dyDescent="0.25">
      <c r="A397" t="s">
        <v>405</v>
      </c>
      <c r="B397" t="s">
        <v>1605</v>
      </c>
      <c r="C397" t="s">
        <v>2400</v>
      </c>
      <c r="D397">
        <v>3</v>
      </c>
      <c r="E397">
        <v>127.41</v>
      </c>
      <c r="F397" t="s">
        <v>2438</v>
      </c>
      <c r="G397" t="s">
        <v>3064</v>
      </c>
      <c r="H397">
        <v>7</v>
      </c>
      <c r="I397" t="s">
        <v>3067</v>
      </c>
      <c r="J397">
        <v>382.23</v>
      </c>
    </row>
    <row r="398" spans="1:10" x14ac:dyDescent="0.25">
      <c r="A398" t="s">
        <v>406</v>
      </c>
      <c r="B398" t="s">
        <v>1606</v>
      </c>
      <c r="C398" t="s">
        <v>2401</v>
      </c>
      <c r="D398">
        <v>5</v>
      </c>
      <c r="E398">
        <v>287.13</v>
      </c>
      <c r="F398" t="s">
        <v>2726</v>
      </c>
      <c r="G398" t="s">
        <v>3062</v>
      </c>
      <c r="H398">
        <v>10</v>
      </c>
      <c r="I398" t="s">
        <v>3068</v>
      </c>
      <c r="J398">
        <v>1435.65</v>
      </c>
    </row>
    <row r="399" spans="1:10" x14ac:dyDescent="0.25">
      <c r="A399" t="s">
        <v>407</v>
      </c>
      <c r="B399" t="s">
        <v>1607</v>
      </c>
      <c r="C399" t="s">
        <v>2399</v>
      </c>
      <c r="D399">
        <v>1</v>
      </c>
      <c r="E399">
        <v>427.06</v>
      </c>
      <c r="F399" t="s">
        <v>2727</v>
      </c>
      <c r="G399" t="s">
        <v>3062</v>
      </c>
      <c r="H399">
        <v>1</v>
      </c>
      <c r="I399" t="s">
        <v>3067</v>
      </c>
      <c r="J399">
        <v>427.06</v>
      </c>
    </row>
    <row r="400" spans="1:10" x14ac:dyDescent="0.25">
      <c r="A400" t="s">
        <v>408</v>
      </c>
      <c r="B400" t="s">
        <v>1608</v>
      </c>
      <c r="C400" t="s">
        <v>2400</v>
      </c>
      <c r="D400">
        <v>5</v>
      </c>
      <c r="E400">
        <v>53.93</v>
      </c>
      <c r="F400" t="s">
        <v>2588</v>
      </c>
      <c r="G400" t="s">
        <v>3064</v>
      </c>
      <c r="H400">
        <v>7</v>
      </c>
      <c r="I400" t="s">
        <v>3066</v>
      </c>
      <c r="J400">
        <v>269.64999999999998</v>
      </c>
    </row>
    <row r="401" spans="1:10" x14ac:dyDescent="0.25">
      <c r="A401" t="s">
        <v>409</v>
      </c>
      <c r="B401" t="s">
        <v>1609</v>
      </c>
      <c r="C401" t="s">
        <v>2401</v>
      </c>
      <c r="D401">
        <v>5</v>
      </c>
      <c r="E401">
        <v>423.93</v>
      </c>
      <c r="F401" t="s">
        <v>2728</v>
      </c>
      <c r="G401" t="s">
        <v>3061</v>
      </c>
      <c r="H401">
        <v>5</v>
      </c>
      <c r="I401" t="s">
        <v>3069</v>
      </c>
      <c r="J401">
        <v>2119.65</v>
      </c>
    </row>
    <row r="402" spans="1:10" x14ac:dyDescent="0.25">
      <c r="A402" t="s">
        <v>410</v>
      </c>
      <c r="B402" t="s">
        <v>1610</v>
      </c>
      <c r="C402" t="s">
        <v>2405</v>
      </c>
      <c r="D402">
        <v>4</v>
      </c>
      <c r="E402">
        <v>160.22</v>
      </c>
      <c r="F402" t="s">
        <v>2729</v>
      </c>
      <c r="G402" t="s">
        <v>3061</v>
      </c>
      <c r="H402">
        <v>9</v>
      </c>
      <c r="I402" t="s">
        <v>3066</v>
      </c>
      <c r="J402">
        <v>640.88</v>
      </c>
    </row>
    <row r="403" spans="1:10" x14ac:dyDescent="0.25">
      <c r="A403" t="s">
        <v>411</v>
      </c>
      <c r="B403" t="s">
        <v>1611</v>
      </c>
      <c r="C403" t="s">
        <v>2403</v>
      </c>
      <c r="D403">
        <v>1</v>
      </c>
      <c r="E403">
        <v>538.67999999999995</v>
      </c>
      <c r="F403" t="s">
        <v>2709</v>
      </c>
      <c r="G403" t="s">
        <v>3061</v>
      </c>
      <c r="H403">
        <v>6</v>
      </c>
      <c r="I403" t="s">
        <v>3067</v>
      </c>
      <c r="J403">
        <v>538.67999999999995</v>
      </c>
    </row>
    <row r="404" spans="1:10" x14ac:dyDescent="0.25">
      <c r="A404" t="s">
        <v>412</v>
      </c>
      <c r="B404" t="s">
        <v>1612</v>
      </c>
      <c r="C404" t="s">
        <v>2403</v>
      </c>
      <c r="D404">
        <v>5</v>
      </c>
      <c r="E404">
        <v>337.38</v>
      </c>
      <c r="F404" t="s">
        <v>2730</v>
      </c>
      <c r="G404" t="s">
        <v>3064</v>
      </c>
      <c r="H404">
        <v>5</v>
      </c>
      <c r="I404" t="s">
        <v>3067</v>
      </c>
      <c r="J404">
        <v>1686.9</v>
      </c>
    </row>
    <row r="405" spans="1:10" x14ac:dyDescent="0.25">
      <c r="A405" t="s">
        <v>413</v>
      </c>
      <c r="B405" t="s">
        <v>1613</v>
      </c>
      <c r="C405" t="s">
        <v>2401</v>
      </c>
      <c r="D405">
        <v>1</v>
      </c>
      <c r="E405">
        <v>620.21</v>
      </c>
      <c r="F405" t="s">
        <v>2646</v>
      </c>
      <c r="G405" t="s">
        <v>3062</v>
      </c>
      <c r="H405">
        <v>1</v>
      </c>
      <c r="I405" t="s">
        <v>3067</v>
      </c>
      <c r="J405">
        <v>620.21</v>
      </c>
    </row>
    <row r="406" spans="1:10" x14ac:dyDescent="0.25">
      <c r="A406" t="s">
        <v>414</v>
      </c>
      <c r="B406" t="s">
        <v>1614</v>
      </c>
      <c r="C406" t="s">
        <v>2399</v>
      </c>
      <c r="D406">
        <v>2</v>
      </c>
      <c r="E406">
        <v>99.1</v>
      </c>
      <c r="F406" t="s">
        <v>2469</v>
      </c>
      <c r="G406" t="s">
        <v>3065</v>
      </c>
      <c r="H406">
        <v>6</v>
      </c>
      <c r="I406" t="s">
        <v>3066</v>
      </c>
      <c r="J406">
        <v>198.2</v>
      </c>
    </row>
    <row r="407" spans="1:10" x14ac:dyDescent="0.25">
      <c r="A407" t="s">
        <v>415</v>
      </c>
      <c r="B407" t="s">
        <v>1615</v>
      </c>
      <c r="C407" t="s">
        <v>2399</v>
      </c>
      <c r="D407">
        <v>4</v>
      </c>
      <c r="E407">
        <v>451.97</v>
      </c>
      <c r="F407" t="s">
        <v>2711</v>
      </c>
      <c r="G407" t="s">
        <v>3062</v>
      </c>
      <c r="H407">
        <v>7</v>
      </c>
      <c r="I407" t="s">
        <v>3068</v>
      </c>
      <c r="J407">
        <v>1807.88</v>
      </c>
    </row>
    <row r="408" spans="1:10" x14ac:dyDescent="0.25">
      <c r="A408" t="s">
        <v>416</v>
      </c>
      <c r="B408" t="s">
        <v>1616</v>
      </c>
      <c r="C408" t="s">
        <v>2401</v>
      </c>
      <c r="D408">
        <v>4</v>
      </c>
      <c r="E408">
        <v>66.099999999999994</v>
      </c>
      <c r="F408" t="s">
        <v>2573</v>
      </c>
      <c r="G408" t="s">
        <v>3065</v>
      </c>
      <c r="H408">
        <v>9</v>
      </c>
      <c r="I408" t="s">
        <v>3070</v>
      </c>
      <c r="J408">
        <v>264.39999999999998</v>
      </c>
    </row>
    <row r="409" spans="1:10" x14ac:dyDescent="0.25">
      <c r="A409" t="s">
        <v>417</v>
      </c>
      <c r="B409" t="s">
        <v>1617</v>
      </c>
      <c r="C409" t="s">
        <v>2401</v>
      </c>
      <c r="D409">
        <v>4</v>
      </c>
      <c r="E409">
        <v>547.32000000000005</v>
      </c>
      <c r="F409" t="s">
        <v>2630</v>
      </c>
      <c r="G409" t="s">
        <v>3065</v>
      </c>
      <c r="H409">
        <v>8</v>
      </c>
      <c r="I409" t="s">
        <v>3066</v>
      </c>
      <c r="J409">
        <v>2189.2800000000002</v>
      </c>
    </row>
    <row r="410" spans="1:10" x14ac:dyDescent="0.25">
      <c r="A410" t="s">
        <v>418</v>
      </c>
      <c r="B410" t="s">
        <v>1618</v>
      </c>
      <c r="C410" t="s">
        <v>2403</v>
      </c>
      <c r="D410">
        <v>3</v>
      </c>
      <c r="E410">
        <v>412.53</v>
      </c>
      <c r="F410" t="s">
        <v>2731</v>
      </c>
      <c r="G410" t="s">
        <v>3062</v>
      </c>
      <c r="H410">
        <v>6</v>
      </c>
      <c r="I410" t="s">
        <v>3070</v>
      </c>
      <c r="J410">
        <v>1237.5899999999999</v>
      </c>
    </row>
    <row r="411" spans="1:10" x14ac:dyDescent="0.25">
      <c r="A411" t="s">
        <v>419</v>
      </c>
      <c r="B411" t="s">
        <v>1619</v>
      </c>
      <c r="C411" t="s">
        <v>2405</v>
      </c>
      <c r="D411">
        <v>5</v>
      </c>
      <c r="E411">
        <v>84.13</v>
      </c>
      <c r="F411" t="s">
        <v>2732</v>
      </c>
      <c r="G411" t="s">
        <v>3062</v>
      </c>
      <c r="H411">
        <v>9</v>
      </c>
      <c r="I411" t="s">
        <v>3070</v>
      </c>
      <c r="J411">
        <v>420.65</v>
      </c>
    </row>
    <row r="412" spans="1:10" x14ac:dyDescent="0.25">
      <c r="A412" t="s">
        <v>420</v>
      </c>
      <c r="B412" t="s">
        <v>1620</v>
      </c>
      <c r="C412" t="s">
        <v>2401</v>
      </c>
      <c r="D412">
        <v>2</v>
      </c>
      <c r="E412">
        <v>518.23</v>
      </c>
      <c r="F412" t="s">
        <v>2733</v>
      </c>
      <c r="G412" t="s">
        <v>3061</v>
      </c>
      <c r="H412">
        <v>5</v>
      </c>
      <c r="I412" t="s">
        <v>3068</v>
      </c>
      <c r="J412">
        <v>1036.46</v>
      </c>
    </row>
    <row r="413" spans="1:10" x14ac:dyDescent="0.25">
      <c r="A413" t="s">
        <v>421</v>
      </c>
      <c r="B413" t="s">
        <v>1621</v>
      </c>
      <c r="C413" t="s">
        <v>2405</v>
      </c>
      <c r="D413">
        <v>2</v>
      </c>
      <c r="E413">
        <v>39.51</v>
      </c>
      <c r="F413" t="s">
        <v>2545</v>
      </c>
      <c r="G413" t="s">
        <v>3062</v>
      </c>
      <c r="H413">
        <v>5</v>
      </c>
      <c r="I413" t="s">
        <v>3069</v>
      </c>
      <c r="J413">
        <v>79.02</v>
      </c>
    </row>
    <row r="414" spans="1:10" x14ac:dyDescent="0.25">
      <c r="A414" t="s">
        <v>422</v>
      </c>
      <c r="B414" t="s">
        <v>1622</v>
      </c>
      <c r="C414" t="s">
        <v>2401</v>
      </c>
      <c r="D414">
        <v>5</v>
      </c>
      <c r="E414">
        <v>133.01</v>
      </c>
      <c r="F414" t="s">
        <v>2734</v>
      </c>
      <c r="G414" t="s">
        <v>3063</v>
      </c>
      <c r="H414">
        <v>10</v>
      </c>
      <c r="I414" t="s">
        <v>3069</v>
      </c>
      <c r="J414">
        <v>665.05</v>
      </c>
    </row>
    <row r="415" spans="1:10" x14ac:dyDescent="0.25">
      <c r="A415" t="s">
        <v>423</v>
      </c>
      <c r="B415" t="s">
        <v>1623</v>
      </c>
      <c r="C415" t="s">
        <v>2401</v>
      </c>
      <c r="D415">
        <v>1</v>
      </c>
      <c r="E415">
        <v>118.8</v>
      </c>
      <c r="F415" t="s">
        <v>2735</v>
      </c>
      <c r="G415" t="s">
        <v>3062</v>
      </c>
      <c r="H415">
        <v>6</v>
      </c>
      <c r="I415" t="s">
        <v>3068</v>
      </c>
      <c r="J415">
        <v>118.8</v>
      </c>
    </row>
    <row r="416" spans="1:10" x14ac:dyDescent="0.25">
      <c r="A416" t="s">
        <v>424</v>
      </c>
      <c r="B416" t="s">
        <v>1624</v>
      </c>
      <c r="C416" t="s">
        <v>2405</v>
      </c>
      <c r="D416">
        <v>2</v>
      </c>
      <c r="E416">
        <v>139.57</v>
      </c>
      <c r="F416" t="s">
        <v>2736</v>
      </c>
      <c r="G416" t="s">
        <v>3065</v>
      </c>
      <c r="H416">
        <v>4</v>
      </c>
      <c r="I416" t="s">
        <v>3069</v>
      </c>
      <c r="J416">
        <v>279.14</v>
      </c>
    </row>
    <row r="417" spans="1:10" x14ac:dyDescent="0.25">
      <c r="A417" t="s">
        <v>425</v>
      </c>
      <c r="B417" t="s">
        <v>1625</v>
      </c>
      <c r="C417" t="s">
        <v>2402</v>
      </c>
      <c r="D417">
        <v>1</v>
      </c>
      <c r="E417">
        <v>184.15</v>
      </c>
      <c r="F417" t="s">
        <v>2635</v>
      </c>
      <c r="G417" t="s">
        <v>3064</v>
      </c>
      <c r="H417">
        <v>5</v>
      </c>
      <c r="I417" t="s">
        <v>3069</v>
      </c>
      <c r="J417">
        <v>184.15</v>
      </c>
    </row>
    <row r="418" spans="1:10" x14ac:dyDescent="0.25">
      <c r="A418" t="s">
        <v>426</v>
      </c>
      <c r="B418" t="s">
        <v>1626</v>
      </c>
      <c r="C418" t="s">
        <v>2404</v>
      </c>
      <c r="D418">
        <v>2</v>
      </c>
      <c r="E418">
        <v>644.04999999999995</v>
      </c>
      <c r="F418" t="s">
        <v>2737</v>
      </c>
      <c r="G418" t="s">
        <v>3064</v>
      </c>
      <c r="H418">
        <v>5</v>
      </c>
      <c r="I418" t="s">
        <v>3067</v>
      </c>
      <c r="J418">
        <v>1288.0999999999999</v>
      </c>
    </row>
    <row r="419" spans="1:10" x14ac:dyDescent="0.25">
      <c r="A419" t="s">
        <v>427</v>
      </c>
      <c r="B419" t="s">
        <v>1627</v>
      </c>
      <c r="C419" t="s">
        <v>2404</v>
      </c>
      <c r="D419">
        <v>5</v>
      </c>
      <c r="E419">
        <v>55.41</v>
      </c>
      <c r="F419" t="s">
        <v>2738</v>
      </c>
      <c r="G419" t="s">
        <v>3062</v>
      </c>
      <c r="H419">
        <v>5</v>
      </c>
      <c r="I419" t="s">
        <v>3070</v>
      </c>
      <c r="J419">
        <v>277.05</v>
      </c>
    </row>
    <row r="420" spans="1:10" x14ac:dyDescent="0.25">
      <c r="A420" t="s">
        <v>428</v>
      </c>
      <c r="B420" t="s">
        <v>1628</v>
      </c>
      <c r="C420" t="s">
        <v>2403</v>
      </c>
      <c r="D420">
        <v>1</v>
      </c>
      <c r="E420">
        <v>310.93</v>
      </c>
      <c r="F420" t="s">
        <v>2739</v>
      </c>
      <c r="G420" t="s">
        <v>3062</v>
      </c>
      <c r="H420">
        <v>3</v>
      </c>
      <c r="I420" t="s">
        <v>3069</v>
      </c>
      <c r="J420">
        <v>310.93</v>
      </c>
    </row>
    <row r="421" spans="1:10" x14ac:dyDescent="0.25">
      <c r="A421" t="s">
        <v>429</v>
      </c>
      <c r="B421" t="s">
        <v>1629</v>
      </c>
      <c r="C421" t="s">
        <v>2401</v>
      </c>
      <c r="D421">
        <v>2</v>
      </c>
      <c r="E421">
        <v>216.66</v>
      </c>
      <c r="F421" t="s">
        <v>2697</v>
      </c>
      <c r="G421" t="s">
        <v>3061</v>
      </c>
      <c r="H421">
        <v>6</v>
      </c>
      <c r="I421" t="s">
        <v>3066</v>
      </c>
      <c r="J421">
        <v>433.32</v>
      </c>
    </row>
    <row r="422" spans="1:10" x14ac:dyDescent="0.25">
      <c r="A422" t="s">
        <v>430</v>
      </c>
      <c r="B422" t="s">
        <v>1630</v>
      </c>
      <c r="C422" t="s">
        <v>2400</v>
      </c>
      <c r="D422">
        <v>1</v>
      </c>
      <c r="E422">
        <v>452.7</v>
      </c>
      <c r="F422" t="s">
        <v>2740</v>
      </c>
      <c r="G422" t="s">
        <v>3061</v>
      </c>
      <c r="H422">
        <v>5</v>
      </c>
      <c r="I422" t="s">
        <v>3066</v>
      </c>
      <c r="J422">
        <v>452.7</v>
      </c>
    </row>
    <row r="423" spans="1:10" x14ac:dyDescent="0.25">
      <c r="A423" t="s">
        <v>431</v>
      </c>
      <c r="B423" t="s">
        <v>1631</v>
      </c>
      <c r="C423" t="s">
        <v>2402</v>
      </c>
      <c r="D423">
        <v>2</v>
      </c>
      <c r="E423">
        <v>288.20999999999998</v>
      </c>
      <c r="F423" t="s">
        <v>2741</v>
      </c>
      <c r="G423" t="s">
        <v>3061</v>
      </c>
      <c r="H423">
        <v>5</v>
      </c>
      <c r="I423" t="s">
        <v>3068</v>
      </c>
      <c r="J423">
        <v>576.41999999999996</v>
      </c>
    </row>
    <row r="424" spans="1:10" x14ac:dyDescent="0.25">
      <c r="A424" t="s">
        <v>432</v>
      </c>
      <c r="B424" t="s">
        <v>1632</v>
      </c>
      <c r="C424" t="s">
        <v>2400</v>
      </c>
      <c r="D424">
        <v>4</v>
      </c>
      <c r="E424">
        <v>206.6</v>
      </c>
      <c r="F424" t="s">
        <v>2422</v>
      </c>
      <c r="G424" t="s">
        <v>3064</v>
      </c>
      <c r="H424">
        <v>6</v>
      </c>
      <c r="I424" t="s">
        <v>3067</v>
      </c>
      <c r="J424">
        <v>826.4</v>
      </c>
    </row>
    <row r="425" spans="1:10" x14ac:dyDescent="0.25">
      <c r="A425" t="s">
        <v>433</v>
      </c>
      <c r="B425" t="s">
        <v>1633</v>
      </c>
      <c r="C425" t="s">
        <v>2403</v>
      </c>
      <c r="D425">
        <v>4</v>
      </c>
      <c r="E425">
        <v>685.2</v>
      </c>
      <c r="F425" t="s">
        <v>2647</v>
      </c>
      <c r="G425" t="s">
        <v>3064</v>
      </c>
      <c r="H425">
        <v>6</v>
      </c>
      <c r="I425" t="s">
        <v>3070</v>
      </c>
      <c r="J425">
        <v>2740.8</v>
      </c>
    </row>
    <row r="426" spans="1:10" x14ac:dyDescent="0.25">
      <c r="A426" t="s">
        <v>434</v>
      </c>
      <c r="B426" t="s">
        <v>1634</v>
      </c>
      <c r="C426" t="s">
        <v>2402</v>
      </c>
      <c r="D426">
        <v>5</v>
      </c>
      <c r="E426">
        <v>22.94</v>
      </c>
      <c r="F426" t="s">
        <v>2674</v>
      </c>
      <c r="G426" t="s">
        <v>3065</v>
      </c>
      <c r="H426">
        <v>10</v>
      </c>
      <c r="I426" t="s">
        <v>3068</v>
      </c>
      <c r="J426">
        <v>114.7</v>
      </c>
    </row>
    <row r="427" spans="1:10" x14ac:dyDescent="0.25">
      <c r="A427" t="s">
        <v>435</v>
      </c>
      <c r="B427" t="s">
        <v>1635</v>
      </c>
      <c r="C427" t="s">
        <v>2404</v>
      </c>
      <c r="D427">
        <v>2</v>
      </c>
      <c r="E427">
        <v>301.88</v>
      </c>
      <c r="F427" t="s">
        <v>2742</v>
      </c>
      <c r="G427" t="s">
        <v>3064</v>
      </c>
      <c r="H427">
        <v>5</v>
      </c>
      <c r="I427" t="s">
        <v>3068</v>
      </c>
      <c r="J427">
        <v>603.76</v>
      </c>
    </row>
    <row r="428" spans="1:10" x14ac:dyDescent="0.25">
      <c r="A428" t="s">
        <v>436</v>
      </c>
      <c r="B428" t="s">
        <v>1636</v>
      </c>
      <c r="C428" t="s">
        <v>2399</v>
      </c>
      <c r="D428">
        <v>5</v>
      </c>
      <c r="E428">
        <v>57.45</v>
      </c>
      <c r="F428" t="s">
        <v>2743</v>
      </c>
      <c r="G428" t="s">
        <v>3065</v>
      </c>
      <c r="H428">
        <v>10</v>
      </c>
      <c r="I428" t="s">
        <v>3069</v>
      </c>
      <c r="J428">
        <v>287.25</v>
      </c>
    </row>
    <row r="429" spans="1:10" x14ac:dyDescent="0.25">
      <c r="A429" t="s">
        <v>437</v>
      </c>
      <c r="B429" t="s">
        <v>1637</v>
      </c>
      <c r="C429" t="s">
        <v>2405</v>
      </c>
      <c r="D429">
        <v>1</v>
      </c>
      <c r="E429">
        <v>161.24</v>
      </c>
      <c r="F429" t="s">
        <v>2744</v>
      </c>
      <c r="G429" t="s">
        <v>3063</v>
      </c>
      <c r="H429">
        <v>3</v>
      </c>
      <c r="I429" t="s">
        <v>3066</v>
      </c>
      <c r="J429">
        <v>161.24</v>
      </c>
    </row>
    <row r="430" spans="1:10" x14ac:dyDescent="0.25">
      <c r="A430" t="s">
        <v>438</v>
      </c>
      <c r="B430" t="s">
        <v>1638</v>
      </c>
      <c r="C430" t="s">
        <v>2402</v>
      </c>
      <c r="D430">
        <v>4</v>
      </c>
      <c r="E430">
        <v>262.58</v>
      </c>
      <c r="F430" t="s">
        <v>2436</v>
      </c>
      <c r="G430" t="s">
        <v>3062</v>
      </c>
      <c r="H430">
        <v>8</v>
      </c>
      <c r="I430" t="s">
        <v>3068</v>
      </c>
      <c r="J430">
        <v>1050.32</v>
      </c>
    </row>
    <row r="431" spans="1:10" x14ac:dyDescent="0.25">
      <c r="A431" t="s">
        <v>439</v>
      </c>
      <c r="B431" t="s">
        <v>1639</v>
      </c>
      <c r="C431" t="s">
        <v>2403</v>
      </c>
      <c r="D431">
        <v>4</v>
      </c>
      <c r="E431">
        <v>515.19000000000005</v>
      </c>
      <c r="F431" t="s">
        <v>2507</v>
      </c>
      <c r="G431" t="s">
        <v>3063</v>
      </c>
      <c r="H431">
        <v>9</v>
      </c>
      <c r="I431" t="s">
        <v>3069</v>
      </c>
      <c r="J431">
        <v>2060.7600000000002</v>
      </c>
    </row>
    <row r="432" spans="1:10" x14ac:dyDescent="0.25">
      <c r="A432" t="s">
        <v>440</v>
      </c>
      <c r="B432" t="s">
        <v>1640</v>
      </c>
      <c r="C432" t="s">
        <v>2400</v>
      </c>
      <c r="D432">
        <v>1</v>
      </c>
      <c r="E432">
        <v>450.07</v>
      </c>
      <c r="F432" t="s">
        <v>2745</v>
      </c>
      <c r="G432" t="s">
        <v>3064</v>
      </c>
      <c r="H432">
        <v>6</v>
      </c>
      <c r="I432" t="s">
        <v>3070</v>
      </c>
      <c r="J432">
        <v>450.07</v>
      </c>
    </row>
    <row r="433" spans="1:10" x14ac:dyDescent="0.25">
      <c r="A433" t="s">
        <v>441</v>
      </c>
      <c r="B433" t="s">
        <v>1641</v>
      </c>
      <c r="C433" t="s">
        <v>2403</v>
      </c>
      <c r="D433">
        <v>1</v>
      </c>
      <c r="E433">
        <v>52.54</v>
      </c>
      <c r="F433" t="s">
        <v>2549</v>
      </c>
      <c r="G433" t="s">
        <v>3061</v>
      </c>
      <c r="H433">
        <v>6</v>
      </c>
      <c r="I433" t="s">
        <v>3069</v>
      </c>
      <c r="J433">
        <v>52.54</v>
      </c>
    </row>
    <row r="434" spans="1:10" x14ac:dyDescent="0.25">
      <c r="A434" t="s">
        <v>442</v>
      </c>
      <c r="B434" t="s">
        <v>1642</v>
      </c>
      <c r="C434" t="s">
        <v>2401</v>
      </c>
      <c r="D434">
        <v>2</v>
      </c>
      <c r="E434">
        <v>424.32</v>
      </c>
      <c r="F434" t="s">
        <v>2746</v>
      </c>
      <c r="G434" t="s">
        <v>3063</v>
      </c>
      <c r="H434">
        <v>6</v>
      </c>
      <c r="I434" t="s">
        <v>3067</v>
      </c>
      <c r="J434">
        <v>848.64</v>
      </c>
    </row>
    <row r="435" spans="1:10" x14ac:dyDescent="0.25">
      <c r="A435" t="s">
        <v>443</v>
      </c>
      <c r="B435" t="s">
        <v>1643</v>
      </c>
      <c r="C435" t="s">
        <v>2399</v>
      </c>
      <c r="D435">
        <v>3</v>
      </c>
      <c r="E435">
        <v>631.64</v>
      </c>
      <c r="F435" t="s">
        <v>2620</v>
      </c>
      <c r="G435" t="s">
        <v>3063</v>
      </c>
      <c r="H435">
        <v>3</v>
      </c>
      <c r="I435" t="s">
        <v>3069</v>
      </c>
      <c r="J435">
        <v>1894.92</v>
      </c>
    </row>
    <row r="436" spans="1:10" x14ac:dyDescent="0.25">
      <c r="A436" t="s">
        <v>444</v>
      </c>
      <c r="B436" t="s">
        <v>1644</v>
      </c>
      <c r="C436" t="s">
        <v>2403</v>
      </c>
      <c r="D436">
        <v>5</v>
      </c>
      <c r="E436">
        <v>327.68</v>
      </c>
      <c r="F436" t="s">
        <v>2471</v>
      </c>
      <c r="G436" t="s">
        <v>3063</v>
      </c>
      <c r="H436">
        <v>6</v>
      </c>
      <c r="I436" t="s">
        <v>3069</v>
      </c>
      <c r="J436">
        <v>1638.4</v>
      </c>
    </row>
    <row r="437" spans="1:10" x14ac:dyDescent="0.25">
      <c r="A437" t="s">
        <v>445</v>
      </c>
      <c r="B437" t="s">
        <v>1645</v>
      </c>
      <c r="C437" t="s">
        <v>2403</v>
      </c>
      <c r="D437">
        <v>1</v>
      </c>
      <c r="E437">
        <v>414.47</v>
      </c>
      <c r="F437" t="s">
        <v>2673</v>
      </c>
      <c r="G437" t="s">
        <v>3061</v>
      </c>
      <c r="H437">
        <v>3</v>
      </c>
      <c r="I437" t="s">
        <v>3066</v>
      </c>
      <c r="J437">
        <v>414.47</v>
      </c>
    </row>
    <row r="438" spans="1:10" x14ac:dyDescent="0.25">
      <c r="A438" t="s">
        <v>446</v>
      </c>
      <c r="B438" t="s">
        <v>1646</v>
      </c>
      <c r="C438" t="s">
        <v>2404</v>
      </c>
      <c r="D438">
        <v>4</v>
      </c>
      <c r="E438">
        <v>221.33</v>
      </c>
      <c r="F438" t="s">
        <v>2549</v>
      </c>
      <c r="G438" t="s">
        <v>3062</v>
      </c>
      <c r="H438">
        <v>5</v>
      </c>
      <c r="I438" t="s">
        <v>3070</v>
      </c>
      <c r="J438">
        <v>885.32</v>
      </c>
    </row>
    <row r="439" spans="1:10" x14ac:dyDescent="0.25">
      <c r="A439" t="s">
        <v>447</v>
      </c>
      <c r="B439" t="s">
        <v>1647</v>
      </c>
      <c r="C439" t="s">
        <v>2400</v>
      </c>
      <c r="D439">
        <v>1</v>
      </c>
      <c r="E439">
        <v>512.39</v>
      </c>
      <c r="F439" t="s">
        <v>2747</v>
      </c>
      <c r="G439" t="s">
        <v>3062</v>
      </c>
      <c r="H439">
        <v>2</v>
      </c>
      <c r="I439" t="s">
        <v>3066</v>
      </c>
      <c r="J439">
        <v>512.39</v>
      </c>
    </row>
    <row r="440" spans="1:10" x14ac:dyDescent="0.25">
      <c r="A440" t="s">
        <v>448</v>
      </c>
      <c r="B440" t="s">
        <v>1648</v>
      </c>
      <c r="C440" t="s">
        <v>2401</v>
      </c>
      <c r="D440">
        <v>3</v>
      </c>
      <c r="E440">
        <v>459.34</v>
      </c>
      <c r="F440" t="s">
        <v>2748</v>
      </c>
      <c r="G440" t="s">
        <v>3064</v>
      </c>
      <c r="H440">
        <v>3</v>
      </c>
      <c r="I440" t="s">
        <v>3066</v>
      </c>
      <c r="J440">
        <v>1378.02</v>
      </c>
    </row>
    <row r="441" spans="1:10" x14ac:dyDescent="0.25">
      <c r="A441" t="s">
        <v>449</v>
      </c>
      <c r="B441" t="s">
        <v>1649</v>
      </c>
      <c r="C441" t="s">
        <v>2401</v>
      </c>
      <c r="D441">
        <v>1</v>
      </c>
      <c r="E441">
        <v>146.32</v>
      </c>
      <c r="F441" t="s">
        <v>2749</v>
      </c>
      <c r="G441" t="s">
        <v>3062</v>
      </c>
      <c r="H441">
        <v>4</v>
      </c>
      <c r="I441" t="s">
        <v>3069</v>
      </c>
      <c r="J441">
        <v>146.32</v>
      </c>
    </row>
    <row r="442" spans="1:10" x14ac:dyDescent="0.25">
      <c r="A442" t="s">
        <v>450</v>
      </c>
      <c r="B442" t="s">
        <v>1650</v>
      </c>
      <c r="C442" t="s">
        <v>2405</v>
      </c>
      <c r="D442">
        <v>4</v>
      </c>
      <c r="E442">
        <v>83.6</v>
      </c>
      <c r="F442" t="s">
        <v>2670</v>
      </c>
      <c r="G442" t="s">
        <v>3061</v>
      </c>
      <c r="H442">
        <v>4</v>
      </c>
      <c r="I442" t="s">
        <v>3069</v>
      </c>
      <c r="J442">
        <v>334.4</v>
      </c>
    </row>
    <row r="443" spans="1:10" x14ac:dyDescent="0.25">
      <c r="A443" t="s">
        <v>451</v>
      </c>
      <c r="B443" t="s">
        <v>1651</v>
      </c>
      <c r="C443" t="s">
        <v>2403</v>
      </c>
      <c r="D443">
        <v>2</v>
      </c>
      <c r="E443">
        <v>328.54</v>
      </c>
      <c r="F443" t="s">
        <v>2750</v>
      </c>
      <c r="G443" t="s">
        <v>3064</v>
      </c>
      <c r="H443">
        <v>6</v>
      </c>
      <c r="I443" t="s">
        <v>3068</v>
      </c>
      <c r="J443">
        <v>657.08</v>
      </c>
    </row>
    <row r="444" spans="1:10" x14ac:dyDescent="0.25">
      <c r="A444" t="s">
        <v>452</v>
      </c>
      <c r="B444" t="s">
        <v>1652</v>
      </c>
      <c r="C444" t="s">
        <v>2402</v>
      </c>
      <c r="D444">
        <v>5</v>
      </c>
      <c r="E444">
        <v>314.94</v>
      </c>
      <c r="F444" t="s">
        <v>2751</v>
      </c>
      <c r="G444" t="s">
        <v>3065</v>
      </c>
      <c r="H444">
        <v>8</v>
      </c>
      <c r="I444" t="s">
        <v>3066</v>
      </c>
      <c r="J444">
        <v>1574.7</v>
      </c>
    </row>
    <row r="445" spans="1:10" x14ac:dyDescent="0.25">
      <c r="A445" t="s">
        <v>453</v>
      </c>
      <c r="B445" t="s">
        <v>1653</v>
      </c>
      <c r="C445" t="s">
        <v>2402</v>
      </c>
      <c r="D445">
        <v>2</v>
      </c>
      <c r="E445">
        <v>69.64</v>
      </c>
      <c r="F445" t="s">
        <v>2465</v>
      </c>
      <c r="G445" t="s">
        <v>3065</v>
      </c>
      <c r="H445">
        <v>6</v>
      </c>
      <c r="I445" t="s">
        <v>3069</v>
      </c>
      <c r="J445">
        <v>139.28</v>
      </c>
    </row>
    <row r="446" spans="1:10" x14ac:dyDescent="0.25">
      <c r="A446" t="s">
        <v>454</v>
      </c>
      <c r="B446" t="s">
        <v>1654</v>
      </c>
      <c r="C446" t="s">
        <v>2403</v>
      </c>
      <c r="D446">
        <v>1</v>
      </c>
      <c r="E446">
        <v>135.16999999999999</v>
      </c>
      <c r="F446" t="s">
        <v>2752</v>
      </c>
      <c r="G446" t="s">
        <v>3062</v>
      </c>
      <c r="H446">
        <v>6</v>
      </c>
      <c r="I446" t="s">
        <v>3066</v>
      </c>
      <c r="J446">
        <v>135.16999999999999</v>
      </c>
    </row>
    <row r="447" spans="1:10" x14ac:dyDescent="0.25">
      <c r="A447" t="s">
        <v>455</v>
      </c>
      <c r="B447" t="s">
        <v>1655</v>
      </c>
      <c r="C447" t="s">
        <v>2400</v>
      </c>
      <c r="D447">
        <v>1</v>
      </c>
      <c r="E447">
        <v>487.21</v>
      </c>
      <c r="F447" t="s">
        <v>2753</v>
      </c>
      <c r="G447" t="s">
        <v>3065</v>
      </c>
      <c r="H447">
        <v>3</v>
      </c>
      <c r="I447" t="s">
        <v>3067</v>
      </c>
      <c r="J447">
        <v>487.21</v>
      </c>
    </row>
    <row r="448" spans="1:10" x14ac:dyDescent="0.25">
      <c r="A448" t="s">
        <v>456</v>
      </c>
      <c r="B448" t="s">
        <v>1656</v>
      </c>
      <c r="C448" t="s">
        <v>2404</v>
      </c>
      <c r="D448">
        <v>5</v>
      </c>
      <c r="E448">
        <v>509.58</v>
      </c>
      <c r="F448" t="s">
        <v>2754</v>
      </c>
      <c r="G448" t="s">
        <v>3062</v>
      </c>
      <c r="H448">
        <v>6</v>
      </c>
      <c r="I448" t="s">
        <v>3066</v>
      </c>
      <c r="J448">
        <v>2547.9</v>
      </c>
    </row>
    <row r="449" spans="1:10" x14ac:dyDescent="0.25">
      <c r="A449" t="s">
        <v>457</v>
      </c>
      <c r="B449" t="s">
        <v>1657</v>
      </c>
      <c r="C449" t="s">
        <v>2403</v>
      </c>
      <c r="D449">
        <v>2</v>
      </c>
      <c r="E449">
        <v>416.81</v>
      </c>
      <c r="F449" t="s">
        <v>2755</v>
      </c>
      <c r="G449" t="s">
        <v>3065</v>
      </c>
      <c r="H449">
        <v>2</v>
      </c>
      <c r="I449" t="s">
        <v>3069</v>
      </c>
      <c r="J449">
        <v>833.62</v>
      </c>
    </row>
    <row r="450" spans="1:10" x14ac:dyDescent="0.25">
      <c r="A450" t="s">
        <v>458</v>
      </c>
      <c r="B450" t="s">
        <v>1658</v>
      </c>
      <c r="C450" t="s">
        <v>2404</v>
      </c>
      <c r="D450">
        <v>2</v>
      </c>
      <c r="E450">
        <v>160</v>
      </c>
      <c r="F450" t="s">
        <v>2756</v>
      </c>
      <c r="G450" t="s">
        <v>3065</v>
      </c>
      <c r="H450">
        <v>4</v>
      </c>
      <c r="I450" t="s">
        <v>3066</v>
      </c>
      <c r="J450">
        <v>320</v>
      </c>
    </row>
    <row r="451" spans="1:10" x14ac:dyDescent="0.25">
      <c r="A451" t="s">
        <v>459</v>
      </c>
      <c r="B451" t="s">
        <v>1659</v>
      </c>
      <c r="C451" t="s">
        <v>2401</v>
      </c>
      <c r="D451">
        <v>3</v>
      </c>
      <c r="E451">
        <v>253.05</v>
      </c>
      <c r="F451" t="s">
        <v>2757</v>
      </c>
      <c r="G451" t="s">
        <v>3062</v>
      </c>
      <c r="H451">
        <v>3</v>
      </c>
      <c r="I451" t="s">
        <v>3066</v>
      </c>
      <c r="J451">
        <v>759.15000000000009</v>
      </c>
    </row>
    <row r="452" spans="1:10" x14ac:dyDescent="0.25">
      <c r="A452" t="s">
        <v>460</v>
      </c>
      <c r="B452" t="s">
        <v>1660</v>
      </c>
      <c r="C452" t="s">
        <v>2399</v>
      </c>
      <c r="D452">
        <v>5</v>
      </c>
      <c r="E452">
        <v>615.1</v>
      </c>
      <c r="F452" t="s">
        <v>2758</v>
      </c>
      <c r="G452" t="s">
        <v>3064</v>
      </c>
      <c r="H452">
        <v>10</v>
      </c>
      <c r="I452" t="s">
        <v>3066</v>
      </c>
      <c r="J452">
        <v>3075.5</v>
      </c>
    </row>
    <row r="453" spans="1:10" x14ac:dyDescent="0.25">
      <c r="A453" t="s">
        <v>461</v>
      </c>
      <c r="B453" t="s">
        <v>1661</v>
      </c>
      <c r="C453" t="s">
        <v>2399</v>
      </c>
      <c r="D453">
        <v>1</v>
      </c>
      <c r="E453">
        <v>183.18</v>
      </c>
      <c r="F453" t="s">
        <v>2503</v>
      </c>
      <c r="G453" t="s">
        <v>3061</v>
      </c>
      <c r="H453">
        <v>6</v>
      </c>
      <c r="I453" t="s">
        <v>3068</v>
      </c>
      <c r="J453">
        <v>183.18</v>
      </c>
    </row>
    <row r="454" spans="1:10" x14ac:dyDescent="0.25">
      <c r="A454" t="s">
        <v>462</v>
      </c>
      <c r="B454" t="s">
        <v>1662</v>
      </c>
      <c r="C454" t="s">
        <v>2403</v>
      </c>
      <c r="D454">
        <v>1</v>
      </c>
      <c r="E454">
        <v>75.78</v>
      </c>
      <c r="F454" t="s">
        <v>2759</v>
      </c>
      <c r="G454" t="s">
        <v>3065</v>
      </c>
      <c r="H454">
        <v>5</v>
      </c>
      <c r="I454" t="s">
        <v>3070</v>
      </c>
      <c r="J454">
        <v>75.78</v>
      </c>
    </row>
    <row r="455" spans="1:10" x14ac:dyDescent="0.25">
      <c r="A455" t="s">
        <v>463</v>
      </c>
      <c r="B455" t="s">
        <v>1663</v>
      </c>
      <c r="C455" t="s">
        <v>2401</v>
      </c>
      <c r="D455">
        <v>1</v>
      </c>
      <c r="E455">
        <v>675.57</v>
      </c>
      <c r="F455" t="s">
        <v>2760</v>
      </c>
      <c r="G455" t="s">
        <v>3065</v>
      </c>
      <c r="H455">
        <v>1</v>
      </c>
      <c r="I455" t="s">
        <v>3069</v>
      </c>
      <c r="J455">
        <v>675.57</v>
      </c>
    </row>
    <row r="456" spans="1:10" x14ac:dyDescent="0.25">
      <c r="A456" t="s">
        <v>464</v>
      </c>
      <c r="B456" t="s">
        <v>1664</v>
      </c>
      <c r="C456" t="s">
        <v>2404</v>
      </c>
      <c r="D456">
        <v>1</v>
      </c>
      <c r="E456">
        <v>109.29</v>
      </c>
      <c r="F456" t="s">
        <v>2761</v>
      </c>
      <c r="G456" t="s">
        <v>3061</v>
      </c>
      <c r="H456">
        <v>5</v>
      </c>
      <c r="I456" t="s">
        <v>3070</v>
      </c>
      <c r="J456">
        <v>109.29</v>
      </c>
    </row>
    <row r="457" spans="1:10" x14ac:dyDescent="0.25">
      <c r="A457" t="s">
        <v>465</v>
      </c>
      <c r="B457" t="s">
        <v>1665</v>
      </c>
      <c r="C457" t="s">
        <v>2400</v>
      </c>
      <c r="D457">
        <v>1</v>
      </c>
      <c r="E457">
        <v>639.83000000000004</v>
      </c>
      <c r="F457" t="s">
        <v>2762</v>
      </c>
      <c r="G457" t="s">
        <v>3061</v>
      </c>
      <c r="H457">
        <v>2</v>
      </c>
      <c r="I457" t="s">
        <v>3067</v>
      </c>
      <c r="J457">
        <v>639.83000000000004</v>
      </c>
    </row>
    <row r="458" spans="1:10" x14ac:dyDescent="0.25">
      <c r="A458" t="s">
        <v>466</v>
      </c>
      <c r="B458" t="s">
        <v>1666</v>
      </c>
      <c r="C458" t="s">
        <v>2405</v>
      </c>
      <c r="D458">
        <v>5</v>
      </c>
      <c r="E458">
        <v>62.81</v>
      </c>
      <c r="F458" t="s">
        <v>2694</v>
      </c>
      <c r="G458" t="s">
        <v>3063</v>
      </c>
      <c r="H458">
        <v>9</v>
      </c>
      <c r="I458" t="s">
        <v>3069</v>
      </c>
      <c r="J458">
        <v>314.05</v>
      </c>
    </row>
    <row r="459" spans="1:10" x14ac:dyDescent="0.25">
      <c r="A459" t="s">
        <v>467</v>
      </c>
      <c r="B459" t="s">
        <v>1667</v>
      </c>
      <c r="C459" t="s">
        <v>2405</v>
      </c>
      <c r="D459">
        <v>4</v>
      </c>
      <c r="E459">
        <v>615.83000000000004</v>
      </c>
      <c r="F459" t="s">
        <v>2763</v>
      </c>
      <c r="G459" t="s">
        <v>3062</v>
      </c>
      <c r="H459">
        <v>4</v>
      </c>
      <c r="I459" t="s">
        <v>3066</v>
      </c>
      <c r="J459">
        <v>2463.3200000000002</v>
      </c>
    </row>
    <row r="460" spans="1:10" x14ac:dyDescent="0.25">
      <c r="A460" t="s">
        <v>468</v>
      </c>
      <c r="B460" t="s">
        <v>1668</v>
      </c>
      <c r="C460" t="s">
        <v>2399</v>
      </c>
      <c r="D460">
        <v>4</v>
      </c>
      <c r="E460">
        <v>510.58</v>
      </c>
      <c r="F460" t="s">
        <v>2491</v>
      </c>
      <c r="G460" t="s">
        <v>3063</v>
      </c>
      <c r="H460">
        <v>7</v>
      </c>
      <c r="I460" t="s">
        <v>3068</v>
      </c>
      <c r="J460">
        <v>2042.32</v>
      </c>
    </row>
    <row r="461" spans="1:10" x14ac:dyDescent="0.25">
      <c r="A461" t="s">
        <v>469</v>
      </c>
      <c r="B461" t="s">
        <v>1669</v>
      </c>
      <c r="C461" t="s">
        <v>2405</v>
      </c>
      <c r="D461">
        <v>1</v>
      </c>
      <c r="E461">
        <v>334.39</v>
      </c>
      <c r="F461" t="s">
        <v>2745</v>
      </c>
      <c r="G461" t="s">
        <v>3063</v>
      </c>
      <c r="H461">
        <v>2</v>
      </c>
      <c r="I461" t="s">
        <v>3066</v>
      </c>
      <c r="J461">
        <v>334.39</v>
      </c>
    </row>
    <row r="462" spans="1:10" x14ac:dyDescent="0.25">
      <c r="A462" t="s">
        <v>470</v>
      </c>
      <c r="B462" t="s">
        <v>1670</v>
      </c>
      <c r="C462" t="s">
        <v>2404</v>
      </c>
      <c r="D462">
        <v>1</v>
      </c>
      <c r="E462">
        <v>144.25</v>
      </c>
      <c r="F462" t="s">
        <v>2764</v>
      </c>
      <c r="G462" t="s">
        <v>3065</v>
      </c>
      <c r="H462">
        <v>2</v>
      </c>
      <c r="I462" t="s">
        <v>3067</v>
      </c>
      <c r="J462">
        <v>144.25</v>
      </c>
    </row>
    <row r="463" spans="1:10" x14ac:dyDescent="0.25">
      <c r="A463" t="s">
        <v>471</v>
      </c>
      <c r="B463" t="s">
        <v>1671</v>
      </c>
      <c r="C463" t="s">
        <v>2401</v>
      </c>
      <c r="D463">
        <v>1</v>
      </c>
      <c r="E463">
        <v>401.82</v>
      </c>
      <c r="F463" t="s">
        <v>2614</v>
      </c>
      <c r="G463" t="s">
        <v>3063</v>
      </c>
      <c r="H463">
        <v>5</v>
      </c>
      <c r="I463" t="s">
        <v>3070</v>
      </c>
      <c r="J463">
        <v>401.82</v>
      </c>
    </row>
    <row r="464" spans="1:10" x14ac:dyDescent="0.25">
      <c r="A464" t="s">
        <v>472</v>
      </c>
      <c r="B464" t="s">
        <v>1672</v>
      </c>
      <c r="C464" t="s">
        <v>2400</v>
      </c>
      <c r="D464">
        <v>1</v>
      </c>
      <c r="E464">
        <v>252.68</v>
      </c>
      <c r="F464" t="s">
        <v>2765</v>
      </c>
      <c r="G464" t="s">
        <v>3062</v>
      </c>
      <c r="H464">
        <v>1</v>
      </c>
      <c r="I464" t="s">
        <v>3067</v>
      </c>
      <c r="J464">
        <v>252.68</v>
      </c>
    </row>
    <row r="465" spans="1:10" x14ac:dyDescent="0.25">
      <c r="A465" t="s">
        <v>473</v>
      </c>
      <c r="B465" t="s">
        <v>1673</v>
      </c>
      <c r="C465" t="s">
        <v>2404</v>
      </c>
      <c r="D465">
        <v>5</v>
      </c>
      <c r="E465">
        <v>662.78</v>
      </c>
      <c r="F465" t="s">
        <v>2766</v>
      </c>
      <c r="G465" t="s">
        <v>3061</v>
      </c>
      <c r="H465">
        <v>9</v>
      </c>
      <c r="I465" t="s">
        <v>3066</v>
      </c>
      <c r="J465">
        <v>3313.9</v>
      </c>
    </row>
    <row r="466" spans="1:10" x14ac:dyDescent="0.25">
      <c r="A466" t="s">
        <v>474</v>
      </c>
      <c r="B466" t="s">
        <v>1674</v>
      </c>
      <c r="C466" t="s">
        <v>2401</v>
      </c>
      <c r="D466">
        <v>4</v>
      </c>
      <c r="E466">
        <v>434.42</v>
      </c>
      <c r="F466" t="s">
        <v>2767</v>
      </c>
      <c r="G466" t="s">
        <v>3062</v>
      </c>
      <c r="H466">
        <v>6</v>
      </c>
      <c r="I466" t="s">
        <v>3070</v>
      </c>
      <c r="J466">
        <v>1737.68</v>
      </c>
    </row>
    <row r="467" spans="1:10" x14ac:dyDescent="0.25">
      <c r="A467" t="s">
        <v>475</v>
      </c>
      <c r="B467" t="s">
        <v>1675</v>
      </c>
      <c r="C467" t="s">
        <v>2403</v>
      </c>
      <c r="D467">
        <v>5</v>
      </c>
      <c r="E467">
        <v>513.49</v>
      </c>
      <c r="F467" t="s">
        <v>2768</v>
      </c>
      <c r="G467" t="s">
        <v>3064</v>
      </c>
      <c r="H467">
        <v>8</v>
      </c>
      <c r="I467" t="s">
        <v>3070</v>
      </c>
      <c r="J467">
        <v>2567.4499999999998</v>
      </c>
    </row>
    <row r="468" spans="1:10" x14ac:dyDescent="0.25">
      <c r="A468" t="s">
        <v>476</v>
      </c>
      <c r="B468" t="s">
        <v>1676</v>
      </c>
      <c r="C468" t="s">
        <v>2400</v>
      </c>
      <c r="D468">
        <v>1</v>
      </c>
      <c r="E468">
        <v>432.47</v>
      </c>
      <c r="F468" t="s">
        <v>2436</v>
      </c>
      <c r="G468" t="s">
        <v>3065</v>
      </c>
      <c r="H468">
        <v>4</v>
      </c>
      <c r="I468" t="s">
        <v>3067</v>
      </c>
      <c r="J468">
        <v>432.47</v>
      </c>
    </row>
    <row r="469" spans="1:10" x14ac:dyDescent="0.25">
      <c r="A469" t="s">
        <v>477</v>
      </c>
      <c r="B469" t="s">
        <v>1677</v>
      </c>
      <c r="C469" t="s">
        <v>2405</v>
      </c>
      <c r="D469">
        <v>1</v>
      </c>
      <c r="E469">
        <v>45.94</v>
      </c>
      <c r="F469" t="s">
        <v>2573</v>
      </c>
      <c r="G469" t="s">
        <v>3065</v>
      </c>
      <c r="H469">
        <v>2</v>
      </c>
      <c r="I469" t="s">
        <v>3068</v>
      </c>
      <c r="J469">
        <v>45.94</v>
      </c>
    </row>
    <row r="470" spans="1:10" x14ac:dyDescent="0.25">
      <c r="A470" t="s">
        <v>478</v>
      </c>
      <c r="B470" t="s">
        <v>1678</v>
      </c>
      <c r="C470" t="s">
        <v>2400</v>
      </c>
      <c r="D470">
        <v>1</v>
      </c>
      <c r="E470">
        <v>418.36</v>
      </c>
      <c r="F470" t="s">
        <v>2769</v>
      </c>
      <c r="G470" t="s">
        <v>3063</v>
      </c>
      <c r="H470">
        <v>5</v>
      </c>
      <c r="I470" t="s">
        <v>3068</v>
      </c>
      <c r="J470">
        <v>418.36</v>
      </c>
    </row>
    <row r="471" spans="1:10" x14ac:dyDescent="0.25">
      <c r="A471" t="s">
        <v>479</v>
      </c>
      <c r="B471" t="s">
        <v>1679</v>
      </c>
      <c r="C471" t="s">
        <v>2402</v>
      </c>
      <c r="D471">
        <v>5</v>
      </c>
      <c r="E471">
        <v>676.98</v>
      </c>
      <c r="F471" t="s">
        <v>2542</v>
      </c>
      <c r="G471" t="s">
        <v>3065</v>
      </c>
      <c r="H471">
        <v>5</v>
      </c>
      <c r="I471" t="s">
        <v>3069</v>
      </c>
      <c r="J471">
        <v>3384.9</v>
      </c>
    </row>
    <row r="472" spans="1:10" x14ac:dyDescent="0.25">
      <c r="A472" t="s">
        <v>480</v>
      </c>
      <c r="B472" t="s">
        <v>1680</v>
      </c>
      <c r="C472" t="s">
        <v>2401</v>
      </c>
      <c r="D472">
        <v>4</v>
      </c>
      <c r="E472">
        <v>263.62</v>
      </c>
      <c r="F472" t="s">
        <v>2770</v>
      </c>
      <c r="G472" t="s">
        <v>3065</v>
      </c>
      <c r="H472">
        <v>5</v>
      </c>
      <c r="I472" t="s">
        <v>3068</v>
      </c>
      <c r="J472">
        <v>1054.48</v>
      </c>
    </row>
    <row r="473" spans="1:10" x14ac:dyDescent="0.25">
      <c r="A473" t="s">
        <v>481</v>
      </c>
      <c r="B473" t="s">
        <v>1681</v>
      </c>
      <c r="C473" t="s">
        <v>2405</v>
      </c>
      <c r="D473">
        <v>5</v>
      </c>
      <c r="E473">
        <v>551.27</v>
      </c>
      <c r="F473" t="s">
        <v>2771</v>
      </c>
      <c r="G473" t="s">
        <v>3062</v>
      </c>
      <c r="H473">
        <v>7</v>
      </c>
      <c r="I473" t="s">
        <v>3067</v>
      </c>
      <c r="J473">
        <v>2756.35</v>
      </c>
    </row>
    <row r="474" spans="1:10" x14ac:dyDescent="0.25">
      <c r="A474" t="s">
        <v>482</v>
      </c>
      <c r="B474" t="s">
        <v>1682</v>
      </c>
      <c r="C474" t="s">
        <v>2402</v>
      </c>
      <c r="D474">
        <v>3</v>
      </c>
      <c r="E474">
        <v>508.12</v>
      </c>
      <c r="F474" t="s">
        <v>2772</v>
      </c>
      <c r="G474" t="s">
        <v>3063</v>
      </c>
      <c r="H474">
        <v>8</v>
      </c>
      <c r="I474" t="s">
        <v>3067</v>
      </c>
      <c r="J474">
        <v>1524.36</v>
      </c>
    </row>
    <row r="475" spans="1:10" x14ac:dyDescent="0.25">
      <c r="A475" t="s">
        <v>483</v>
      </c>
      <c r="B475" t="s">
        <v>1683</v>
      </c>
      <c r="C475" t="s">
        <v>2402</v>
      </c>
      <c r="D475">
        <v>2</v>
      </c>
      <c r="E475">
        <v>14.93</v>
      </c>
      <c r="F475" t="s">
        <v>2773</v>
      </c>
      <c r="G475" t="s">
        <v>3062</v>
      </c>
      <c r="H475">
        <v>4</v>
      </c>
      <c r="I475" t="s">
        <v>3069</v>
      </c>
      <c r="J475">
        <v>29.86</v>
      </c>
    </row>
    <row r="476" spans="1:10" x14ac:dyDescent="0.25">
      <c r="A476" t="s">
        <v>484</v>
      </c>
      <c r="B476" t="s">
        <v>1684</v>
      </c>
      <c r="C476" t="s">
        <v>2403</v>
      </c>
      <c r="D476">
        <v>3</v>
      </c>
      <c r="E476">
        <v>229.34</v>
      </c>
      <c r="F476" t="s">
        <v>2688</v>
      </c>
      <c r="G476" t="s">
        <v>3063</v>
      </c>
      <c r="H476">
        <v>6</v>
      </c>
      <c r="I476" t="s">
        <v>3067</v>
      </c>
      <c r="J476">
        <v>688.02</v>
      </c>
    </row>
    <row r="477" spans="1:10" x14ac:dyDescent="0.25">
      <c r="A477" t="s">
        <v>485</v>
      </c>
      <c r="B477" t="s">
        <v>1685</v>
      </c>
      <c r="C477" t="s">
        <v>2401</v>
      </c>
      <c r="D477">
        <v>2</v>
      </c>
      <c r="E477">
        <v>438.62</v>
      </c>
      <c r="F477" t="s">
        <v>2774</v>
      </c>
      <c r="G477" t="s">
        <v>3065</v>
      </c>
      <c r="H477">
        <v>3</v>
      </c>
      <c r="I477" t="s">
        <v>3069</v>
      </c>
      <c r="J477">
        <v>877.24</v>
      </c>
    </row>
    <row r="478" spans="1:10" x14ac:dyDescent="0.25">
      <c r="A478" t="s">
        <v>486</v>
      </c>
      <c r="B478" t="s">
        <v>1686</v>
      </c>
      <c r="C478" t="s">
        <v>2400</v>
      </c>
      <c r="D478">
        <v>2</v>
      </c>
      <c r="E478">
        <v>513.59</v>
      </c>
      <c r="F478" t="s">
        <v>2775</v>
      </c>
      <c r="G478" t="s">
        <v>3062</v>
      </c>
      <c r="H478">
        <v>4</v>
      </c>
      <c r="I478" t="s">
        <v>3067</v>
      </c>
      <c r="J478">
        <v>1027.18</v>
      </c>
    </row>
    <row r="479" spans="1:10" x14ac:dyDescent="0.25">
      <c r="A479" t="s">
        <v>487</v>
      </c>
      <c r="B479" t="s">
        <v>1687</v>
      </c>
      <c r="C479" t="s">
        <v>2400</v>
      </c>
      <c r="D479">
        <v>2</v>
      </c>
      <c r="E479">
        <v>253.74</v>
      </c>
      <c r="F479" t="s">
        <v>2776</v>
      </c>
      <c r="G479" t="s">
        <v>3062</v>
      </c>
      <c r="H479">
        <v>5</v>
      </c>
      <c r="I479" t="s">
        <v>3070</v>
      </c>
      <c r="J479">
        <v>507.48</v>
      </c>
    </row>
    <row r="480" spans="1:10" x14ac:dyDescent="0.25">
      <c r="A480" t="s">
        <v>488</v>
      </c>
      <c r="B480" t="s">
        <v>1688</v>
      </c>
      <c r="C480" t="s">
        <v>2401</v>
      </c>
      <c r="D480">
        <v>3</v>
      </c>
      <c r="E480">
        <v>62.77</v>
      </c>
      <c r="F480" t="s">
        <v>2422</v>
      </c>
      <c r="G480" t="s">
        <v>3064</v>
      </c>
      <c r="H480">
        <v>6</v>
      </c>
      <c r="I480" t="s">
        <v>3067</v>
      </c>
      <c r="J480">
        <v>188.31</v>
      </c>
    </row>
    <row r="481" spans="1:10" x14ac:dyDescent="0.25">
      <c r="A481" t="s">
        <v>489</v>
      </c>
      <c r="B481" t="s">
        <v>1689</v>
      </c>
      <c r="C481" t="s">
        <v>2399</v>
      </c>
      <c r="D481">
        <v>4</v>
      </c>
      <c r="E481">
        <v>25.29</v>
      </c>
      <c r="F481" t="s">
        <v>2777</v>
      </c>
      <c r="G481" t="s">
        <v>3063</v>
      </c>
      <c r="H481">
        <v>8</v>
      </c>
      <c r="I481" t="s">
        <v>3070</v>
      </c>
      <c r="J481">
        <v>101.16</v>
      </c>
    </row>
    <row r="482" spans="1:10" x14ac:dyDescent="0.25">
      <c r="A482" t="s">
        <v>490</v>
      </c>
      <c r="B482" t="s">
        <v>1690</v>
      </c>
      <c r="C482" t="s">
        <v>2402</v>
      </c>
      <c r="D482">
        <v>1</v>
      </c>
      <c r="E482">
        <v>335.1</v>
      </c>
      <c r="F482" t="s">
        <v>2505</v>
      </c>
      <c r="G482" t="s">
        <v>3061</v>
      </c>
      <c r="H482">
        <v>6</v>
      </c>
      <c r="I482" t="s">
        <v>3067</v>
      </c>
      <c r="J482">
        <v>335.1</v>
      </c>
    </row>
    <row r="483" spans="1:10" x14ac:dyDescent="0.25">
      <c r="A483" t="s">
        <v>491</v>
      </c>
      <c r="B483" t="s">
        <v>1691</v>
      </c>
      <c r="C483" t="s">
        <v>2404</v>
      </c>
      <c r="D483">
        <v>4</v>
      </c>
      <c r="E483">
        <v>484.85</v>
      </c>
      <c r="F483" t="s">
        <v>2592</v>
      </c>
      <c r="G483" t="s">
        <v>3061</v>
      </c>
      <c r="H483">
        <v>5</v>
      </c>
      <c r="I483" t="s">
        <v>3067</v>
      </c>
      <c r="J483">
        <v>1939.4</v>
      </c>
    </row>
    <row r="484" spans="1:10" x14ac:dyDescent="0.25">
      <c r="A484" t="s">
        <v>492</v>
      </c>
      <c r="B484" t="s">
        <v>1692</v>
      </c>
      <c r="C484" t="s">
        <v>2399</v>
      </c>
      <c r="D484">
        <v>3</v>
      </c>
      <c r="E484">
        <v>381.41</v>
      </c>
      <c r="F484" t="s">
        <v>2483</v>
      </c>
      <c r="G484" t="s">
        <v>3062</v>
      </c>
      <c r="H484">
        <v>6</v>
      </c>
      <c r="I484" t="s">
        <v>3066</v>
      </c>
      <c r="J484">
        <v>1144.23</v>
      </c>
    </row>
    <row r="485" spans="1:10" x14ac:dyDescent="0.25">
      <c r="A485" t="s">
        <v>493</v>
      </c>
      <c r="B485" t="s">
        <v>1693</v>
      </c>
      <c r="C485" t="s">
        <v>2400</v>
      </c>
      <c r="D485">
        <v>5</v>
      </c>
      <c r="E485">
        <v>347.92</v>
      </c>
      <c r="F485" t="s">
        <v>2778</v>
      </c>
      <c r="G485" t="s">
        <v>3065</v>
      </c>
      <c r="H485">
        <v>6</v>
      </c>
      <c r="I485" t="s">
        <v>3070</v>
      </c>
      <c r="J485">
        <v>1739.6</v>
      </c>
    </row>
    <row r="486" spans="1:10" x14ac:dyDescent="0.25">
      <c r="A486" t="s">
        <v>494</v>
      </c>
      <c r="B486" t="s">
        <v>1694</v>
      </c>
      <c r="C486" t="s">
        <v>2402</v>
      </c>
      <c r="D486">
        <v>4</v>
      </c>
      <c r="E486">
        <v>15.01</v>
      </c>
      <c r="F486" t="s">
        <v>2732</v>
      </c>
      <c r="G486" t="s">
        <v>3065</v>
      </c>
      <c r="H486">
        <v>6</v>
      </c>
      <c r="I486" t="s">
        <v>3069</v>
      </c>
      <c r="J486">
        <v>60.04</v>
      </c>
    </row>
    <row r="487" spans="1:10" x14ac:dyDescent="0.25">
      <c r="A487" t="s">
        <v>495</v>
      </c>
      <c r="B487" t="s">
        <v>1695</v>
      </c>
      <c r="C487" t="s">
        <v>2402</v>
      </c>
      <c r="D487">
        <v>3</v>
      </c>
      <c r="E487">
        <v>404.79</v>
      </c>
      <c r="F487" t="s">
        <v>2779</v>
      </c>
      <c r="G487" t="s">
        <v>3065</v>
      </c>
      <c r="H487">
        <v>6</v>
      </c>
      <c r="I487" t="s">
        <v>3066</v>
      </c>
      <c r="J487">
        <v>1214.3699999999999</v>
      </c>
    </row>
    <row r="488" spans="1:10" x14ac:dyDescent="0.25">
      <c r="A488" t="s">
        <v>496</v>
      </c>
      <c r="B488" t="s">
        <v>1696</v>
      </c>
      <c r="C488" t="s">
        <v>2403</v>
      </c>
      <c r="D488">
        <v>4</v>
      </c>
      <c r="E488">
        <v>611.26</v>
      </c>
      <c r="F488" t="s">
        <v>2723</v>
      </c>
      <c r="G488" t="s">
        <v>3065</v>
      </c>
      <c r="H488">
        <v>5</v>
      </c>
      <c r="I488" t="s">
        <v>3067</v>
      </c>
      <c r="J488">
        <v>2445.04</v>
      </c>
    </row>
    <row r="489" spans="1:10" x14ac:dyDescent="0.25">
      <c r="A489" t="s">
        <v>497</v>
      </c>
      <c r="B489" t="s">
        <v>1697</v>
      </c>
      <c r="C489" t="s">
        <v>2403</v>
      </c>
      <c r="D489">
        <v>3</v>
      </c>
      <c r="E489">
        <v>346.52</v>
      </c>
      <c r="F489" t="s">
        <v>2780</v>
      </c>
      <c r="G489" t="s">
        <v>3063</v>
      </c>
      <c r="H489">
        <v>3</v>
      </c>
      <c r="I489" t="s">
        <v>3070</v>
      </c>
      <c r="J489">
        <v>1039.56</v>
      </c>
    </row>
    <row r="490" spans="1:10" x14ac:dyDescent="0.25">
      <c r="A490" t="s">
        <v>498</v>
      </c>
      <c r="B490" t="s">
        <v>1698</v>
      </c>
      <c r="C490" t="s">
        <v>2402</v>
      </c>
      <c r="D490">
        <v>1</v>
      </c>
      <c r="E490">
        <v>36.65</v>
      </c>
      <c r="F490" t="s">
        <v>2781</v>
      </c>
      <c r="G490" t="s">
        <v>3062</v>
      </c>
      <c r="H490">
        <v>1</v>
      </c>
      <c r="I490" t="s">
        <v>3068</v>
      </c>
      <c r="J490">
        <v>36.65</v>
      </c>
    </row>
    <row r="491" spans="1:10" x14ac:dyDescent="0.25">
      <c r="A491" t="s">
        <v>499</v>
      </c>
      <c r="B491" t="s">
        <v>1699</v>
      </c>
      <c r="C491" t="s">
        <v>2401</v>
      </c>
      <c r="D491">
        <v>3</v>
      </c>
      <c r="E491">
        <v>149.34</v>
      </c>
      <c r="F491" t="s">
        <v>2633</v>
      </c>
      <c r="G491" t="s">
        <v>3064</v>
      </c>
      <c r="H491">
        <v>7</v>
      </c>
      <c r="I491" t="s">
        <v>3068</v>
      </c>
      <c r="J491">
        <v>448.02</v>
      </c>
    </row>
    <row r="492" spans="1:10" x14ac:dyDescent="0.25">
      <c r="A492" t="s">
        <v>500</v>
      </c>
      <c r="B492" t="s">
        <v>1700</v>
      </c>
      <c r="C492" t="s">
        <v>2402</v>
      </c>
      <c r="D492">
        <v>5</v>
      </c>
      <c r="E492">
        <v>467.81</v>
      </c>
      <c r="F492" t="s">
        <v>2782</v>
      </c>
      <c r="G492" t="s">
        <v>3062</v>
      </c>
      <c r="H492">
        <v>10</v>
      </c>
      <c r="I492" t="s">
        <v>3069</v>
      </c>
      <c r="J492">
        <v>2339.0500000000002</v>
      </c>
    </row>
    <row r="493" spans="1:10" x14ac:dyDescent="0.25">
      <c r="A493" t="s">
        <v>501</v>
      </c>
      <c r="B493" t="s">
        <v>1701</v>
      </c>
      <c r="C493" t="s">
        <v>2400</v>
      </c>
      <c r="D493">
        <v>5</v>
      </c>
      <c r="E493">
        <v>420.7</v>
      </c>
      <c r="F493" t="s">
        <v>2776</v>
      </c>
      <c r="G493" t="s">
        <v>3065</v>
      </c>
      <c r="H493">
        <v>5</v>
      </c>
      <c r="I493" t="s">
        <v>3069</v>
      </c>
      <c r="J493">
        <v>2103.5</v>
      </c>
    </row>
    <row r="494" spans="1:10" x14ac:dyDescent="0.25">
      <c r="A494" t="s">
        <v>502</v>
      </c>
      <c r="B494" t="s">
        <v>1702</v>
      </c>
      <c r="C494" t="s">
        <v>2404</v>
      </c>
      <c r="D494">
        <v>5</v>
      </c>
      <c r="E494">
        <v>606.52</v>
      </c>
      <c r="F494" t="s">
        <v>2479</v>
      </c>
      <c r="G494" t="s">
        <v>3061</v>
      </c>
      <c r="H494">
        <v>6</v>
      </c>
      <c r="I494" t="s">
        <v>3066</v>
      </c>
      <c r="J494">
        <v>3032.6</v>
      </c>
    </row>
    <row r="495" spans="1:10" x14ac:dyDescent="0.25">
      <c r="A495" t="s">
        <v>503</v>
      </c>
      <c r="B495" t="s">
        <v>1703</v>
      </c>
      <c r="C495" t="s">
        <v>2400</v>
      </c>
      <c r="D495">
        <v>1</v>
      </c>
      <c r="E495">
        <v>420.26</v>
      </c>
      <c r="F495" t="s">
        <v>2783</v>
      </c>
      <c r="G495" t="s">
        <v>3063</v>
      </c>
      <c r="H495">
        <v>4</v>
      </c>
      <c r="I495" t="s">
        <v>3069</v>
      </c>
      <c r="J495">
        <v>420.26</v>
      </c>
    </row>
    <row r="496" spans="1:10" x14ac:dyDescent="0.25">
      <c r="A496" t="s">
        <v>504</v>
      </c>
      <c r="B496" t="s">
        <v>1704</v>
      </c>
      <c r="C496" t="s">
        <v>2404</v>
      </c>
      <c r="D496">
        <v>3</v>
      </c>
      <c r="E496">
        <v>505.79</v>
      </c>
      <c r="F496" t="s">
        <v>2784</v>
      </c>
      <c r="G496" t="s">
        <v>3061</v>
      </c>
      <c r="H496">
        <v>3</v>
      </c>
      <c r="I496" t="s">
        <v>3067</v>
      </c>
      <c r="J496">
        <v>1517.37</v>
      </c>
    </row>
    <row r="497" spans="1:10" x14ac:dyDescent="0.25">
      <c r="A497" t="s">
        <v>505</v>
      </c>
      <c r="B497" t="s">
        <v>1705</v>
      </c>
      <c r="C497" t="s">
        <v>2400</v>
      </c>
      <c r="D497">
        <v>4</v>
      </c>
      <c r="E497">
        <v>493.73</v>
      </c>
      <c r="F497" t="s">
        <v>2546</v>
      </c>
      <c r="G497" t="s">
        <v>3061</v>
      </c>
      <c r="H497">
        <v>6</v>
      </c>
      <c r="I497" t="s">
        <v>3069</v>
      </c>
      <c r="J497">
        <v>1974.92</v>
      </c>
    </row>
    <row r="498" spans="1:10" x14ac:dyDescent="0.25">
      <c r="A498" t="s">
        <v>506</v>
      </c>
      <c r="B498" t="s">
        <v>1706</v>
      </c>
      <c r="C498" t="s">
        <v>2403</v>
      </c>
      <c r="D498">
        <v>3</v>
      </c>
      <c r="E498">
        <v>201.21</v>
      </c>
      <c r="F498" t="s">
        <v>2785</v>
      </c>
      <c r="G498" t="s">
        <v>3062</v>
      </c>
      <c r="H498">
        <v>3</v>
      </c>
      <c r="I498" t="s">
        <v>3070</v>
      </c>
      <c r="J498">
        <v>603.63</v>
      </c>
    </row>
    <row r="499" spans="1:10" x14ac:dyDescent="0.25">
      <c r="A499" t="s">
        <v>507</v>
      </c>
      <c r="B499" t="s">
        <v>1707</v>
      </c>
      <c r="C499" t="s">
        <v>2403</v>
      </c>
      <c r="D499">
        <v>3</v>
      </c>
      <c r="E499">
        <v>112.29</v>
      </c>
      <c r="F499" t="s">
        <v>2786</v>
      </c>
      <c r="G499" t="s">
        <v>3064</v>
      </c>
      <c r="H499">
        <v>6</v>
      </c>
      <c r="I499" t="s">
        <v>3070</v>
      </c>
      <c r="J499">
        <v>336.87</v>
      </c>
    </row>
    <row r="500" spans="1:10" x14ac:dyDescent="0.25">
      <c r="A500" t="s">
        <v>508</v>
      </c>
      <c r="B500" t="s">
        <v>1708</v>
      </c>
      <c r="C500" t="s">
        <v>2401</v>
      </c>
      <c r="D500">
        <v>4</v>
      </c>
      <c r="E500">
        <v>132.56</v>
      </c>
      <c r="F500" t="s">
        <v>2618</v>
      </c>
      <c r="G500" t="s">
        <v>3065</v>
      </c>
      <c r="H500">
        <v>8</v>
      </c>
      <c r="I500" t="s">
        <v>3066</v>
      </c>
      <c r="J500">
        <v>530.24</v>
      </c>
    </row>
    <row r="501" spans="1:10" x14ac:dyDescent="0.25">
      <c r="A501" t="s">
        <v>509</v>
      </c>
      <c r="B501" t="s">
        <v>1709</v>
      </c>
      <c r="C501" t="s">
        <v>2403</v>
      </c>
      <c r="D501">
        <v>3</v>
      </c>
      <c r="E501">
        <v>539.46</v>
      </c>
      <c r="F501" t="s">
        <v>2787</v>
      </c>
      <c r="G501" t="s">
        <v>3063</v>
      </c>
      <c r="H501">
        <v>4</v>
      </c>
      <c r="I501" t="s">
        <v>3069</v>
      </c>
      <c r="J501">
        <v>1618.38</v>
      </c>
    </row>
    <row r="502" spans="1:10" x14ac:dyDescent="0.25">
      <c r="A502" t="s">
        <v>510</v>
      </c>
      <c r="B502" t="s">
        <v>1710</v>
      </c>
      <c r="C502" t="s">
        <v>2404</v>
      </c>
      <c r="D502">
        <v>5</v>
      </c>
      <c r="E502">
        <v>508.59</v>
      </c>
      <c r="F502" t="s">
        <v>2788</v>
      </c>
      <c r="G502" t="s">
        <v>3065</v>
      </c>
      <c r="H502">
        <v>8</v>
      </c>
      <c r="I502" t="s">
        <v>3069</v>
      </c>
      <c r="J502">
        <v>2542.9499999999998</v>
      </c>
    </row>
    <row r="503" spans="1:10" x14ac:dyDescent="0.25">
      <c r="A503" t="s">
        <v>511</v>
      </c>
      <c r="B503" t="s">
        <v>1711</v>
      </c>
      <c r="C503" t="s">
        <v>2405</v>
      </c>
      <c r="D503">
        <v>4</v>
      </c>
      <c r="E503">
        <v>203.46</v>
      </c>
      <c r="F503" t="s">
        <v>2555</v>
      </c>
      <c r="G503" t="s">
        <v>3063</v>
      </c>
      <c r="H503">
        <v>7</v>
      </c>
      <c r="I503" t="s">
        <v>3067</v>
      </c>
      <c r="J503">
        <v>813.84</v>
      </c>
    </row>
    <row r="504" spans="1:10" x14ac:dyDescent="0.25">
      <c r="A504" t="s">
        <v>512</v>
      </c>
      <c r="B504" t="s">
        <v>1712</v>
      </c>
      <c r="C504" t="s">
        <v>2399</v>
      </c>
      <c r="D504">
        <v>3</v>
      </c>
      <c r="E504">
        <v>565.25</v>
      </c>
      <c r="F504" t="s">
        <v>2789</v>
      </c>
      <c r="G504" t="s">
        <v>3061</v>
      </c>
      <c r="H504">
        <v>7</v>
      </c>
      <c r="I504" t="s">
        <v>3068</v>
      </c>
      <c r="J504">
        <v>1695.75</v>
      </c>
    </row>
    <row r="505" spans="1:10" x14ac:dyDescent="0.25">
      <c r="A505" t="s">
        <v>513</v>
      </c>
      <c r="B505" t="s">
        <v>1713</v>
      </c>
      <c r="C505" t="s">
        <v>2401</v>
      </c>
      <c r="D505">
        <v>3</v>
      </c>
      <c r="E505">
        <v>136.84</v>
      </c>
      <c r="F505" t="s">
        <v>2790</v>
      </c>
      <c r="G505" t="s">
        <v>3062</v>
      </c>
      <c r="H505">
        <v>4</v>
      </c>
      <c r="I505" t="s">
        <v>3069</v>
      </c>
      <c r="J505">
        <v>410.52</v>
      </c>
    </row>
    <row r="506" spans="1:10" x14ac:dyDescent="0.25">
      <c r="A506" t="s">
        <v>514</v>
      </c>
      <c r="B506" t="s">
        <v>1714</v>
      </c>
      <c r="C506" t="s">
        <v>2399</v>
      </c>
      <c r="D506">
        <v>2</v>
      </c>
      <c r="E506">
        <v>464.5</v>
      </c>
      <c r="F506" t="s">
        <v>2791</v>
      </c>
      <c r="G506" t="s">
        <v>3062</v>
      </c>
      <c r="H506">
        <v>2</v>
      </c>
      <c r="I506" t="s">
        <v>3066</v>
      </c>
      <c r="J506">
        <v>929</v>
      </c>
    </row>
    <row r="507" spans="1:10" x14ac:dyDescent="0.25">
      <c r="A507" t="s">
        <v>515</v>
      </c>
      <c r="B507" t="s">
        <v>1715</v>
      </c>
      <c r="C507" t="s">
        <v>2403</v>
      </c>
      <c r="D507">
        <v>2</v>
      </c>
      <c r="E507">
        <v>434.97</v>
      </c>
      <c r="F507" t="s">
        <v>2723</v>
      </c>
      <c r="G507" t="s">
        <v>3062</v>
      </c>
      <c r="H507">
        <v>7</v>
      </c>
      <c r="I507" t="s">
        <v>3068</v>
      </c>
      <c r="J507">
        <v>869.94</v>
      </c>
    </row>
    <row r="508" spans="1:10" x14ac:dyDescent="0.25">
      <c r="A508" t="s">
        <v>516</v>
      </c>
      <c r="B508" t="s">
        <v>1716</v>
      </c>
      <c r="C508" t="s">
        <v>2399</v>
      </c>
      <c r="D508">
        <v>2</v>
      </c>
      <c r="E508">
        <v>43.67</v>
      </c>
      <c r="F508" t="s">
        <v>2792</v>
      </c>
      <c r="G508" t="s">
        <v>3065</v>
      </c>
      <c r="H508">
        <v>4</v>
      </c>
      <c r="I508" t="s">
        <v>3066</v>
      </c>
      <c r="J508">
        <v>87.34</v>
      </c>
    </row>
    <row r="509" spans="1:10" x14ac:dyDescent="0.25">
      <c r="A509" t="s">
        <v>517</v>
      </c>
      <c r="B509" t="s">
        <v>1717</v>
      </c>
      <c r="C509" t="s">
        <v>2400</v>
      </c>
      <c r="D509">
        <v>1</v>
      </c>
      <c r="E509">
        <v>171.59</v>
      </c>
      <c r="F509" t="s">
        <v>2680</v>
      </c>
      <c r="G509" t="s">
        <v>3063</v>
      </c>
      <c r="H509">
        <v>5</v>
      </c>
      <c r="I509" t="s">
        <v>3068</v>
      </c>
      <c r="J509">
        <v>171.59</v>
      </c>
    </row>
    <row r="510" spans="1:10" x14ac:dyDescent="0.25">
      <c r="A510" t="s">
        <v>518</v>
      </c>
      <c r="B510" t="s">
        <v>1718</v>
      </c>
      <c r="C510" t="s">
        <v>2400</v>
      </c>
      <c r="D510">
        <v>1</v>
      </c>
      <c r="E510">
        <v>558.27</v>
      </c>
      <c r="F510" t="s">
        <v>2793</v>
      </c>
      <c r="G510" t="s">
        <v>3062</v>
      </c>
      <c r="H510">
        <v>1</v>
      </c>
      <c r="I510" t="s">
        <v>3067</v>
      </c>
      <c r="J510">
        <v>558.27</v>
      </c>
    </row>
    <row r="511" spans="1:10" x14ac:dyDescent="0.25">
      <c r="A511" t="s">
        <v>519</v>
      </c>
      <c r="B511" t="s">
        <v>1719</v>
      </c>
      <c r="C511" t="s">
        <v>2404</v>
      </c>
      <c r="D511">
        <v>2</v>
      </c>
      <c r="E511">
        <v>425.03</v>
      </c>
      <c r="F511" t="s">
        <v>2794</v>
      </c>
      <c r="G511" t="s">
        <v>3065</v>
      </c>
      <c r="H511">
        <v>2</v>
      </c>
      <c r="I511" t="s">
        <v>3070</v>
      </c>
      <c r="J511">
        <v>850.06</v>
      </c>
    </row>
    <row r="512" spans="1:10" x14ac:dyDescent="0.25">
      <c r="A512" t="s">
        <v>520</v>
      </c>
      <c r="B512" t="s">
        <v>1720</v>
      </c>
      <c r="C512" t="s">
        <v>2403</v>
      </c>
      <c r="D512">
        <v>1</v>
      </c>
      <c r="E512">
        <v>376.76</v>
      </c>
      <c r="F512" t="s">
        <v>2795</v>
      </c>
      <c r="G512" t="s">
        <v>3061</v>
      </c>
      <c r="H512">
        <v>5</v>
      </c>
      <c r="I512" t="s">
        <v>3068</v>
      </c>
      <c r="J512">
        <v>376.76</v>
      </c>
    </row>
    <row r="513" spans="1:10" x14ac:dyDescent="0.25">
      <c r="A513" t="s">
        <v>521</v>
      </c>
      <c r="B513" t="s">
        <v>1721</v>
      </c>
      <c r="C513" t="s">
        <v>2399</v>
      </c>
      <c r="D513">
        <v>5</v>
      </c>
      <c r="E513">
        <v>575.24</v>
      </c>
      <c r="F513" t="s">
        <v>2446</v>
      </c>
      <c r="G513" t="s">
        <v>3065</v>
      </c>
      <c r="H513">
        <v>7</v>
      </c>
      <c r="I513" t="s">
        <v>3068</v>
      </c>
      <c r="J513">
        <v>2876.2</v>
      </c>
    </row>
    <row r="514" spans="1:10" x14ac:dyDescent="0.25">
      <c r="A514" t="s">
        <v>522</v>
      </c>
      <c r="B514" t="s">
        <v>1722</v>
      </c>
      <c r="C514" t="s">
        <v>2405</v>
      </c>
      <c r="D514">
        <v>3</v>
      </c>
      <c r="E514">
        <v>568.02</v>
      </c>
      <c r="F514" t="s">
        <v>2658</v>
      </c>
      <c r="G514" t="s">
        <v>3062</v>
      </c>
      <c r="H514">
        <v>3</v>
      </c>
      <c r="I514" t="s">
        <v>3066</v>
      </c>
      <c r="J514">
        <v>1704.06</v>
      </c>
    </row>
    <row r="515" spans="1:10" x14ac:dyDescent="0.25">
      <c r="A515" t="s">
        <v>523</v>
      </c>
      <c r="B515" t="s">
        <v>1723</v>
      </c>
      <c r="C515" t="s">
        <v>2401</v>
      </c>
      <c r="D515">
        <v>3</v>
      </c>
      <c r="E515">
        <v>94.88</v>
      </c>
      <c r="F515" t="s">
        <v>2497</v>
      </c>
      <c r="G515" t="s">
        <v>3064</v>
      </c>
      <c r="H515">
        <v>8</v>
      </c>
      <c r="I515" t="s">
        <v>3067</v>
      </c>
      <c r="J515">
        <v>284.64</v>
      </c>
    </row>
    <row r="516" spans="1:10" x14ac:dyDescent="0.25">
      <c r="A516" t="s">
        <v>524</v>
      </c>
      <c r="B516" t="s">
        <v>1724</v>
      </c>
      <c r="C516" t="s">
        <v>2403</v>
      </c>
      <c r="D516">
        <v>3</v>
      </c>
      <c r="E516">
        <v>304.14999999999998</v>
      </c>
      <c r="F516" t="s">
        <v>2760</v>
      </c>
      <c r="G516" t="s">
        <v>3064</v>
      </c>
      <c r="H516">
        <v>3</v>
      </c>
      <c r="I516" t="s">
        <v>3066</v>
      </c>
      <c r="J516">
        <v>912.44999999999993</v>
      </c>
    </row>
    <row r="517" spans="1:10" x14ac:dyDescent="0.25">
      <c r="A517" t="s">
        <v>525</v>
      </c>
      <c r="B517" t="s">
        <v>1725</v>
      </c>
      <c r="C517" t="s">
        <v>2400</v>
      </c>
      <c r="D517">
        <v>3</v>
      </c>
      <c r="E517">
        <v>553.52</v>
      </c>
      <c r="F517" t="s">
        <v>2758</v>
      </c>
      <c r="G517" t="s">
        <v>3064</v>
      </c>
      <c r="H517">
        <v>4</v>
      </c>
      <c r="I517" t="s">
        <v>3069</v>
      </c>
      <c r="J517">
        <v>1660.56</v>
      </c>
    </row>
    <row r="518" spans="1:10" x14ac:dyDescent="0.25">
      <c r="A518" t="s">
        <v>526</v>
      </c>
      <c r="B518" t="s">
        <v>1726</v>
      </c>
      <c r="C518" t="s">
        <v>2399</v>
      </c>
      <c r="D518">
        <v>3</v>
      </c>
      <c r="E518">
        <v>166.99</v>
      </c>
      <c r="F518" t="s">
        <v>2655</v>
      </c>
      <c r="G518" t="s">
        <v>3065</v>
      </c>
      <c r="H518">
        <v>8</v>
      </c>
      <c r="I518" t="s">
        <v>3069</v>
      </c>
      <c r="J518">
        <v>500.97</v>
      </c>
    </row>
    <row r="519" spans="1:10" x14ac:dyDescent="0.25">
      <c r="A519" t="s">
        <v>527</v>
      </c>
      <c r="B519" t="s">
        <v>1727</v>
      </c>
      <c r="C519" t="s">
        <v>2401</v>
      </c>
      <c r="D519">
        <v>4</v>
      </c>
      <c r="E519">
        <v>198.35</v>
      </c>
      <c r="F519" t="s">
        <v>2777</v>
      </c>
      <c r="G519" t="s">
        <v>3065</v>
      </c>
      <c r="H519">
        <v>7</v>
      </c>
      <c r="I519" t="s">
        <v>3070</v>
      </c>
      <c r="J519">
        <v>793.4</v>
      </c>
    </row>
    <row r="520" spans="1:10" x14ac:dyDescent="0.25">
      <c r="A520" t="s">
        <v>528</v>
      </c>
      <c r="B520" t="s">
        <v>1728</v>
      </c>
      <c r="C520" t="s">
        <v>2403</v>
      </c>
      <c r="D520">
        <v>4</v>
      </c>
      <c r="E520">
        <v>403.58</v>
      </c>
      <c r="F520" t="s">
        <v>2728</v>
      </c>
      <c r="G520" t="s">
        <v>3062</v>
      </c>
      <c r="H520">
        <v>9</v>
      </c>
      <c r="I520" t="s">
        <v>3067</v>
      </c>
      <c r="J520">
        <v>1614.32</v>
      </c>
    </row>
    <row r="521" spans="1:10" x14ac:dyDescent="0.25">
      <c r="A521" t="s">
        <v>529</v>
      </c>
      <c r="B521" t="s">
        <v>1729</v>
      </c>
      <c r="C521" t="s">
        <v>2404</v>
      </c>
      <c r="D521">
        <v>4</v>
      </c>
      <c r="E521">
        <v>464.29</v>
      </c>
      <c r="F521" t="s">
        <v>2796</v>
      </c>
      <c r="G521" t="s">
        <v>3061</v>
      </c>
      <c r="H521">
        <v>5</v>
      </c>
      <c r="I521" t="s">
        <v>3068</v>
      </c>
      <c r="J521">
        <v>1857.16</v>
      </c>
    </row>
    <row r="522" spans="1:10" x14ac:dyDescent="0.25">
      <c r="A522" t="s">
        <v>530</v>
      </c>
      <c r="B522" t="s">
        <v>1730</v>
      </c>
      <c r="C522" t="s">
        <v>2399</v>
      </c>
      <c r="D522">
        <v>3</v>
      </c>
      <c r="E522">
        <v>635.98</v>
      </c>
      <c r="F522" t="s">
        <v>2797</v>
      </c>
      <c r="G522" t="s">
        <v>3065</v>
      </c>
      <c r="H522">
        <v>5</v>
      </c>
      <c r="I522" t="s">
        <v>3067</v>
      </c>
      <c r="J522">
        <v>1907.94</v>
      </c>
    </row>
    <row r="523" spans="1:10" x14ac:dyDescent="0.25">
      <c r="A523" t="s">
        <v>531</v>
      </c>
      <c r="B523" t="s">
        <v>1731</v>
      </c>
      <c r="C523" t="s">
        <v>2400</v>
      </c>
      <c r="D523">
        <v>1</v>
      </c>
      <c r="E523">
        <v>528.05999999999995</v>
      </c>
      <c r="F523" t="s">
        <v>2798</v>
      </c>
      <c r="G523" t="s">
        <v>3063</v>
      </c>
      <c r="H523">
        <v>2</v>
      </c>
      <c r="I523" t="s">
        <v>3069</v>
      </c>
      <c r="J523">
        <v>528.05999999999995</v>
      </c>
    </row>
    <row r="524" spans="1:10" x14ac:dyDescent="0.25">
      <c r="A524" t="s">
        <v>532</v>
      </c>
      <c r="B524" t="s">
        <v>1732</v>
      </c>
      <c r="C524" t="s">
        <v>2402</v>
      </c>
      <c r="D524">
        <v>1</v>
      </c>
      <c r="E524">
        <v>515.32000000000005</v>
      </c>
      <c r="F524" t="s">
        <v>2646</v>
      </c>
      <c r="G524" t="s">
        <v>3064</v>
      </c>
      <c r="H524">
        <v>1</v>
      </c>
      <c r="I524" t="s">
        <v>3068</v>
      </c>
      <c r="J524">
        <v>515.32000000000005</v>
      </c>
    </row>
    <row r="525" spans="1:10" x14ac:dyDescent="0.25">
      <c r="A525" t="s">
        <v>533</v>
      </c>
      <c r="B525" t="s">
        <v>1733</v>
      </c>
      <c r="C525" t="s">
        <v>2405</v>
      </c>
      <c r="D525">
        <v>4</v>
      </c>
      <c r="E525">
        <v>657.79</v>
      </c>
      <c r="F525" t="s">
        <v>2737</v>
      </c>
      <c r="G525" t="s">
        <v>3063</v>
      </c>
      <c r="H525">
        <v>6</v>
      </c>
      <c r="I525" t="s">
        <v>3070</v>
      </c>
      <c r="J525">
        <v>2631.16</v>
      </c>
    </row>
    <row r="526" spans="1:10" x14ac:dyDescent="0.25">
      <c r="A526" t="s">
        <v>534</v>
      </c>
      <c r="B526" t="s">
        <v>1734</v>
      </c>
      <c r="C526" t="s">
        <v>2400</v>
      </c>
      <c r="D526">
        <v>1</v>
      </c>
      <c r="E526">
        <v>153</v>
      </c>
      <c r="F526" t="s">
        <v>2479</v>
      </c>
      <c r="G526" t="s">
        <v>3063</v>
      </c>
      <c r="H526">
        <v>4</v>
      </c>
      <c r="I526" t="s">
        <v>3067</v>
      </c>
      <c r="J526">
        <v>153</v>
      </c>
    </row>
    <row r="527" spans="1:10" x14ac:dyDescent="0.25">
      <c r="A527" t="s">
        <v>535</v>
      </c>
      <c r="B527" t="s">
        <v>1735</v>
      </c>
      <c r="C527" t="s">
        <v>2399</v>
      </c>
      <c r="D527">
        <v>1</v>
      </c>
      <c r="E527">
        <v>668.48</v>
      </c>
      <c r="F527" t="s">
        <v>2758</v>
      </c>
      <c r="G527" t="s">
        <v>3061</v>
      </c>
      <c r="H527">
        <v>1</v>
      </c>
      <c r="I527" t="s">
        <v>3068</v>
      </c>
      <c r="J527">
        <v>668.48</v>
      </c>
    </row>
    <row r="528" spans="1:10" x14ac:dyDescent="0.25">
      <c r="A528" t="s">
        <v>536</v>
      </c>
      <c r="B528" t="s">
        <v>1736</v>
      </c>
      <c r="C528" t="s">
        <v>2405</v>
      </c>
      <c r="D528">
        <v>2</v>
      </c>
      <c r="E528">
        <v>46.5</v>
      </c>
      <c r="F528" t="s">
        <v>2493</v>
      </c>
      <c r="G528" t="s">
        <v>3065</v>
      </c>
      <c r="H528">
        <v>7</v>
      </c>
      <c r="I528" t="s">
        <v>3070</v>
      </c>
      <c r="J528">
        <v>93</v>
      </c>
    </row>
    <row r="529" spans="1:10" x14ac:dyDescent="0.25">
      <c r="A529" t="s">
        <v>537</v>
      </c>
      <c r="B529" t="s">
        <v>1737</v>
      </c>
      <c r="C529" t="s">
        <v>2402</v>
      </c>
      <c r="D529">
        <v>5</v>
      </c>
      <c r="E529">
        <v>653.47</v>
      </c>
      <c r="F529" t="s">
        <v>2484</v>
      </c>
      <c r="G529" t="s">
        <v>3063</v>
      </c>
      <c r="H529">
        <v>10</v>
      </c>
      <c r="I529" t="s">
        <v>3067</v>
      </c>
      <c r="J529">
        <v>3267.35</v>
      </c>
    </row>
    <row r="530" spans="1:10" x14ac:dyDescent="0.25">
      <c r="A530" t="s">
        <v>538</v>
      </c>
      <c r="B530" t="s">
        <v>1738</v>
      </c>
      <c r="C530" t="s">
        <v>2402</v>
      </c>
      <c r="D530">
        <v>1</v>
      </c>
      <c r="E530">
        <v>628.89</v>
      </c>
      <c r="F530" t="s">
        <v>2761</v>
      </c>
      <c r="G530" t="s">
        <v>3063</v>
      </c>
      <c r="H530">
        <v>2</v>
      </c>
      <c r="I530" t="s">
        <v>3067</v>
      </c>
      <c r="J530">
        <v>628.89</v>
      </c>
    </row>
    <row r="531" spans="1:10" x14ac:dyDescent="0.25">
      <c r="A531" t="s">
        <v>539</v>
      </c>
      <c r="B531" t="s">
        <v>1739</v>
      </c>
      <c r="C531" t="s">
        <v>2401</v>
      </c>
      <c r="D531">
        <v>2</v>
      </c>
      <c r="E531">
        <v>675.1</v>
      </c>
      <c r="F531" t="s">
        <v>2799</v>
      </c>
      <c r="G531" t="s">
        <v>3065</v>
      </c>
      <c r="H531">
        <v>4</v>
      </c>
      <c r="I531" t="s">
        <v>3070</v>
      </c>
      <c r="J531">
        <v>1350.2</v>
      </c>
    </row>
    <row r="532" spans="1:10" x14ac:dyDescent="0.25">
      <c r="A532" t="s">
        <v>540</v>
      </c>
      <c r="B532" t="s">
        <v>1740</v>
      </c>
      <c r="C532" t="s">
        <v>2402</v>
      </c>
      <c r="D532">
        <v>4</v>
      </c>
      <c r="E532">
        <v>89.41</v>
      </c>
      <c r="F532" t="s">
        <v>2800</v>
      </c>
      <c r="G532" t="s">
        <v>3062</v>
      </c>
      <c r="H532">
        <v>9</v>
      </c>
      <c r="I532" t="s">
        <v>3070</v>
      </c>
      <c r="J532">
        <v>357.64</v>
      </c>
    </row>
    <row r="533" spans="1:10" x14ac:dyDescent="0.25">
      <c r="A533" t="s">
        <v>541</v>
      </c>
      <c r="B533" t="s">
        <v>1741</v>
      </c>
      <c r="C533" t="s">
        <v>2405</v>
      </c>
      <c r="D533">
        <v>5</v>
      </c>
      <c r="E533">
        <v>320.01</v>
      </c>
      <c r="F533" t="s">
        <v>2801</v>
      </c>
      <c r="G533" t="s">
        <v>3064</v>
      </c>
      <c r="H533">
        <v>6</v>
      </c>
      <c r="I533" t="s">
        <v>3067</v>
      </c>
      <c r="J533">
        <v>1600.05</v>
      </c>
    </row>
    <row r="534" spans="1:10" x14ac:dyDescent="0.25">
      <c r="A534" t="s">
        <v>542</v>
      </c>
      <c r="B534" t="s">
        <v>1742</v>
      </c>
      <c r="C534" t="s">
        <v>2404</v>
      </c>
      <c r="D534">
        <v>2</v>
      </c>
      <c r="E534">
        <v>41</v>
      </c>
      <c r="F534" t="s">
        <v>2802</v>
      </c>
      <c r="G534" t="s">
        <v>3062</v>
      </c>
      <c r="H534">
        <v>7</v>
      </c>
      <c r="I534" t="s">
        <v>3068</v>
      </c>
      <c r="J534">
        <v>82</v>
      </c>
    </row>
    <row r="535" spans="1:10" x14ac:dyDescent="0.25">
      <c r="A535" t="s">
        <v>543</v>
      </c>
      <c r="B535" t="s">
        <v>1743</v>
      </c>
      <c r="C535" t="s">
        <v>2405</v>
      </c>
      <c r="D535">
        <v>1</v>
      </c>
      <c r="E535">
        <v>565.85</v>
      </c>
      <c r="F535" t="s">
        <v>2468</v>
      </c>
      <c r="G535" t="s">
        <v>3064</v>
      </c>
      <c r="H535">
        <v>1</v>
      </c>
      <c r="I535" t="s">
        <v>3069</v>
      </c>
      <c r="J535">
        <v>565.85</v>
      </c>
    </row>
    <row r="536" spans="1:10" x14ac:dyDescent="0.25">
      <c r="A536" t="s">
        <v>544</v>
      </c>
      <c r="B536" t="s">
        <v>1744</v>
      </c>
      <c r="C536" t="s">
        <v>2402</v>
      </c>
      <c r="D536">
        <v>3</v>
      </c>
      <c r="E536">
        <v>648.59</v>
      </c>
      <c r="F536" t="s">
        <v>2803</v>
      </c>
      <c r="G536" t="s">
        <v>3061</v>
      </c>
      <c r="H536">
        <v>4</v>
      </c>
      <c r="I536" t="s">
        <v>3068</v>
      </c>
      <c r="J536">
        <v>1945.77</v>
      </c>
    </row>
    <row r="537" spans="1:10" x14ac:dyDescent="0.25">
      <c r="A537" t="s">
        <v>545</v>
      </c>
      <c r="B537" t="s">
        <v>1745</v>
      </c>
      <c r="C537" t="s">
        <v>2399</v>
      </c>
      <c r="D537">
        <v>3</v>
      </c>
      <c r="E537">
        <v>68.12</v>
      </c>
      <c r="F537" t="s">
        <v>2563</v>
      </c>
      <c r="G537" t="s">
        <v>3062</v>
      </c>
      <c r="H537">
        <v>3</v>
      </c>
      <c r="I537" t="s">
        <v>3068</v>
      </c>
      <c r="J537">
        <v>204.36</v>
      </c>
    </row>
    <row r="538" spans="1:10" x14ac:dyDescent="0.25">
      <c r="A538" t="s">
        <v>546</v>
      </c>
      <c r="B538" t="s">
        <v>1746</v>
      </c>
      <c r="C538" t="s">
        <v>2402</v>
      </c>
      <c r="D538">
        <v>1</v>
      </c>
      <c r="E538">
        <v>616.1</v>
      </c>
      <c r="F538" t="s">
        <v>2804</v>
      </c>
      <c r="G538" t="s">
        <v>3065</v>
      </c>
      <c r="H538">
        <v>6</v>
      </c>
      <c r="I538" t="s">
        <v>3068</v>
      </c>
      <c r="J538">
        <v>616.1</v>
      </c>
    </row>
    <row r="539" spans="1:10" x14ac:dyDescent="0.25">
      <c r="A539" t="s">
        <v>547</v>
      </c>
      <c r="B539" t="s">
        <v>1747</v>
      </c>
      <c r="C539" t="s">
        <v>2401</v>
      </c>
      <c r="D539">
        <v>3</v>
      </c>
      <c r="E539">
        <v>247.47</v>
      </c>
      <c r="F539" t="s">
        <v>2467</v>
      </c>
      <c r="G539" t="s">
        <v>3062</v>
      </c>
      <c r="H539">
        <v>4</v>
      </c>
      <c r="I539" t="s">
        <v>3069</v>
      </c>
      <c r="J539">
        <v>742.41</v>
      </c>
    </row>
    <row r="540" spans="1:10" x14ac:dyDescent="0.25">
      <c r="A540" t="s">
        <v>548</v>
      </c>
      <c r="B540" t="s">
        <v>1748</v>
      </c>
      <c r="C540" t="s">
        <v>2400</v>
      </c>
      <c r="D540">
        <v>3</v>
      </c>
      <c r="E540">
        <v>490.74</v>
      </c>
      <c r="F540" t="s">
        <v>2805</v>
      </c>
      <c r="G540" t="s">
        <v>3065</v>
      </c>
      <c r="H540">
        <v>3</v>
      </c>
      <c r="I540" t="s">
        <v>3068</v>
      </c>
      <c r="J540">
        <v>1472.22</v>
      </c>
    </row>
    <row r="541" spans="1:10" x14ac:dyDescent="0.25">
      <c r="A541" t="s">
        <v>549</v>
      </c>
      <c r="B541" t="s">
        <v>1749</v>
      </c>
      <c r="C541" t="s">
        <v>2405</v>
      </c>
      <c r="D541">
        <v>3</v>
      </c>
      <c r="E541">
        <v>531.72</v>
      </c>
      <c r="F541" t="s">
        <v>2806</v>
      </c>
      <c r="G541" t="s">
        <v>3064</v>
      </c>
      <c r="H541">
        <v>7</v>
      </c>
      <c r="I541" t="s">
        <v>3070</v>
      </c>
      <c r="J541">
        <v>1595.16</v>
      </c>
    </row>
    <row r="542" spans="1:10" x14ac:dyDescent="0.25">
      <c r="A542" t="s">
        <v>550</v>
      </c>
      <c r="B542" t="s">
        <v>1750</v>
      </c>
      <c r="C542" t="s">
        <v>2404</v>
      </c>
      <c r="D542">
        <v>5</v>
      </c>
      <c r="E542">
        <v>648.65</v>
      </c>
      <c r="F542" t="s">
        <v>2807</v>
      </c>
      <c r="G542" t="s">
        <v>3062</v>
      </c>
      <c r="H542">
        <v>7</v>
      </c>
      <c r="I542" t="s">
        <v>3067</v>
      </c>
      <c r="J542">
        <v>3243.25</v>
      </c>
    </row>
    <row r="543" spans="1:10" x14ac:dyDescent="0.25">
      <c r="A543" t="s">
        <v>551</v>
      </c>
      <c r="B543" t="s">
        <v>1751</v>
      </c>
      <c r="C543" t="s">
        <v>2403</v>
      </c>
      <c r="D543">
        <v>5</v>
      </c>
      <c r="E543">
        <v>456.06</v>
      </c>
      <c r="F543" t="s">
        <v>2808</v>
      </c>
      <c r="G543" t="s">
        <v>3065</v>
      </c>
      <c r="H543">
        <v>10</v>
      </c>
      <c r="I543" t="s">
        <v>3066</v>
      </c>
      <c r="J543">
        <v>2280.3000000000002</v>
      </c>
    </row>
    <row r="544" spans="1:10" x14ac:dyDescent="0.25">
      <c r="A544" t="s">
        <v>552</v>
      </c>
      <c r="B544" t="s">
        <v>1752</v>
      </c>
      <c r="C544" t="s">
        <v>2401</v>
      </c>
      <c r="D544">
        <v>1</v>
      </c>
      <c r="E544">
        <v>17.98</v>
      </c>
      <c r="F544" t="s">
        <v>2411</v>
      </c>
      <c r="G544" t="s">
        <v>3065</v>
      </c>
      <c r="H544">
        <v>6</v>
      </c>
      <c r="I544" t="s">
        <v>3068</v>
      </c>
      <c r="J544">
        <v>17.98</v>
      </c>
    </row>
    <row r="545" spans="1:10" x14ac:dyDescent="0.25">
      <c r="A545" t="s">
        <v>553</v>
      </c>
      <c r="B545" t="s">
        <v>1753</v>
      </c>
      <c r="C545" t="s">
        <v>2405</v>
      </c>
      <c r="D545">
        <v>5</v>
      </c>
      <c r="E545">
        <v>269.86</v>
      </c>
      <c r="F545" t="s">
        <v>2565</v>
      </c>
      <c r="G545" t="s">
        <v>3065</v>
      </c>
      <c r="H545">
        <v>6</v>
      </c>
      <c r="I545" t="s">
        <v>3069</v>
      </c>
      <c r="J545">
        <v>1349.3</v>
      </c>
    </row>
    <row r="546" spans="1:10" x14ac:dyDescent="0.25">
      <c r="A546" t="s">
        <v>554</v>
      </c>
      <c r="B546" t="s">
        <v>1754</v>
      </c>
      <c r="C546" t="s">
        <v>2403</v>
      </c>
      <c r="D546">
        <v>5</v>
      </c>
      <c r="E546">
        <v>31.96</v>
      </c>
      <c r="F546" t="s">
        <v>2722</v>
      </c>
      <c r="G546" t="s">
        <v>3063</v>
      </c>
      <c r="H546">
        <v>5</v>
      </c>
      <c r="I546" t="s">
        <v>3067</v>
      </c>
      <c r="J546">
        <v>159.80000000000001</v>
      </c>
    </row>
    <row r="547" spans="1:10" x14ac:dyDescent="0.25">
      <c r="A547" t="s">
        <v>555</v>
      </c>
      <c r="B547" t="s">
        <v>1755</v>
      </c>
      <c r="C547" t="s">
        <v>2399</v>
      </c>
      <c r="D547">
        <v>2</v>
      </c>
      <c r="E547">
        <v>98.47</v>
      </c>
      <c r="F547" t="s">
        <v>2809</v>
      </c>
      <c r="G547" t="s">
        <v>3065</v>
      </c>
      <c r="H547">
        <v>3</v>
      </c>
      <c r="I547" t="s">
        <v>3066</v>
      </c>
      <c r="J547">
        <v>196.94</v>
      </c>
    </row>
    <row r="548" spans="1:10" x14ac:dyDescent="0.25">
      <c r="A548" t="s">
        <v>556</v>
      </c>
      <c r="B548" t="s">
        <v>1756</v>
      </c>
      <c r="C548" t="s">
        <v>2399</v>
      </c>
      <c r="D548">
        <v>1</v>
      </c>
      <c r="E548">
        <v>158.68</v>
      </c>
      <c r="F548" t="s">
        <v>2406</v>
      </c>
      <c r="G548" t="s">
        <v>3063</v>
      </c>
      <c r="H548">
        <v>6</v>
      </c>
      <c r="I548" t="s">
        <v>3066</v>
      </c>
      <c r="J548">
        <v>158.68</v>
      </c>
    </row>
    <row r="549" spans="1:10" x14ac:dyDescent="0.25">
      <c r="A549" t="s">
        <v>557</v>
      </c>
      <c r="B549" t="s">
        <v>1757</v>
      </c>
      <c r="C549" t="s">
        <v>2400</v>
      </c>
      <c r="D549">
        <v>1</v>
      </c>
      <c r="E549">
        <v>613.98</v>
      </c>
      <c r="F549" t="s">
        <v>2810</v>
      </c>
      <c r="G549" t="s">
        <v>3062</v>
      </c>
      <c r="H549">
        <v>4</v>
      </c>
      <c r="I549" t="s">
        <v>3069</v>
      </c>
      <c r="J549">
        <v>613.98</v>
      </c>
    </row>
    <row r="550" spans="1:10" x14ac:dyDescent="0.25">
      <c r="A550" t="s">
        <v>558</v>
      </c>
      <c r="B550" t="s">
        <v>1758</v>
      </c>
      <c r="C550" t="s">
        <v>2403</v>
      </c>
      <c r="D550">
        <v>3</v>
      </c>
      <c r="E550">
        <v>426.12</v>
      </c>
      <c r="F550" t="s">
        <v>2496</v>
      </c>
      <c r="G550" t="s">
        <v>3062</v>
      </c>
      <c r="H550">
        <v>5</v>
      </c>
      <c r="I550" t="s">
        <v>3066</v>
      </c>
      <c r="J550">
        <v>1278.3599999999999</v>
      </c>
    </row>
    <row r="551" spans="1:10" x14ac:dyDescent="0.25">
      <c r="A551" t="s">
        <v>559</v>
      </c>
      <c r="B551" t="s">
        <v>1759</v>
      </c>
      <c r="C551" t="s">
        <v>2399</v>
      </c>
      <c r="D551">
        <v>4</v>
      </c>
      <c r="E551">
        <v>629.88</v>
      </c>
      <c r="F551" t="s">
        <v>2811</v>
      </c>
      <c r="G551" t="s">
        <v>3061</v>
      </c>
      <c r="H551">
        <v>8</v>
      </c>
      <c r="I551" t="s">
        <v>3066</v>
      </c>
      <c r="J551">
        <v>2519.52</v>
      </c>
    </row>
    <row r="552" spans="1:10" x14ac:dyDescent="0.25">
      <c r="A552" t="s">
        <v>560</v>
      </c>
      <c r="B552" t="s">
        <v>1760</v>
      </c>
      <c r="C552" t="s">
        <v>2404</v>
      </c>
      <c r="D552">
        <v>4</v>
      </c>
      <c r="E552">
        <v>228.91</v>
      </c>
      <c r="F552" t="s">
        <v>2538</v>
      </c>
      <c r="G552" t="s">
        <v>3065</v>
      </c>
      <c r="H552">
        <v>4</v>
      </c>
      <c r="I552" t="s">
        <v>3070</v>
      </c>
      <c r="J552">
        <v>915.64</v>
      </c>
    </row>
    <row r="553" spans="1:10" x14ac:dyDescent="0.25">
      <c r="A553" t="s">
        <v>561</v>
      </c>
      <c r="B553" t="s">
        <v>1761</v>
      </c>
      <c r="C553" t="s">
        <v>2404</v>
      </c>
      <c r="D553">
        <v>1</v>
      </c>
      <c r="E553">
        <v>120.98</v>
      </c>
      <c r="F553" t="s">
        <v>2524</v>
      </c>
      <c r="G553" t="s">
        <v>3061</v>
      </c>
      <c r="H553">
        <v>6</v>
      </c>
      <c r="I553" t="s">
        <v>3068</v>
      </c>
      <c r="J553">
        <v>120.98</v>
      </c>
    </row>
    <row r="554" spans="1:10" x14ac:dyDescent="0.25">
      <c r="A554" t="s">
        <v>562</v>
      </c>
      <c r="B554" t="s">
        <v>1762</v>
      </c>
      <c r="C554" t="s">
        <v>2402</v>
      </c>
      <c r="D554">
        <v>4</v>
      </c>
      <c r="E554">
        <v>425.18</v>
      </c>
      <c r="F554" t="s">
        <v>2794</v>
      </c>
      <c r="G554" t="s">
        <v>3062</v>
      </c>
      <c r="H554">
        <v>8</v>
      </c>
      <c r="I554" t="s">
        <v>3069</v>
      </c>
      <c r="J554">
        <v>1700.72</v>
      </c>
    </row>
    <row r="555" spans="1:10" x14ac:dyDescent="0.25">
      <c r="A555" t="s">
        <v>563</v>
      </c>
      <c r="B555" t="s">
        <v>1763</v>
      </c>
      <c r="C555" t="s">
        <v>2400</v>
      </c>
      <c r="D555">
        <v>2</v>
      </c>
      <c r="E555">
        <v>333.83</v>
      </c>
      <c r="F555" t="s">
        <v>2812</v>
      </c>
      <c r="G555" t="s">
        <v>3064</v>
      </c>
      <c r="H555">
        <v>4</v>
      </c>
      <c r="I555" t="s">
        <v>3067</v>
      </c>
      <c r="J555">
        <v>667.66</v>
      </c>
    </row>
    <row r="556" spans="1:10" x14ac:dyDescent="0.25">
      <c r="A556" t="s">
        <v>564</v>
      </c>
      <c r="B556" t="s">
        <v>1764</v>
      </c>
      <c r="C556" t="s">
        <v>2404</v>
      </c>
      <c r="D556">
        <v>2</v>
      </c>
      <c r="E556">
        <v>492.9</v>
      </c>
      <c r="F556" t="s">
        <v>2606</v>
      </c>
      <c r="G556" t="s">
        <v>3065</v>
      </c>
      <c r="H556">
        <v>5</v>
      </c>
      <c r="I556" t="s">
        <v>3066</v>
      </c>
      <c r="J556">
        <v>985.8</v>
      </c>
    </row>
    <row r="557" spans="1:10" x14ac:dyDescent="0.25">
      <c r="A557" t="s">
        <v>565</v>
      </c>
      <c r="B557" t="s">
        <v>1765</v>
      </c>
      <c r="C557" t="s">
        <v>2401</v>
      </c>
      <c r="D557">
        <v>1</v>
      </c>
      <c r="E557">
        <v>92.04</v>
      </c>
      <c r="F557" t="s">
        <v>2416</v>
      </c>
      <c r="G557" t="s">
        <v>3065</v>
      </c>
      <c r="H557">
        <v>2</v>
      </c>
      <c r="I557" t="s">
        <v>3069</v>
      </c>
      <c r="J557">
        <v>92.04</v>
      </c>
    </row>
    <row r="558" spans="1:10" x14ac:dyDescent="0.25">
      <c r="A558" t="s">
        <v>566</v>
      </c>
      <c r="B558" t="s">
        <v>1766</v>
      </c>
      <c r="C558" t="s">
        <v>2404</v>
      </c>
      <c r="D558">
        <v>1</v>
      </c>
      <c r="E558">
        <v>654.27</v>
      </c>
      <c r="F558" t="s">
        <v>2813</v>
      </c>
      <c r="G558" t="s">
        <v>3064</v>
      </c>
      <c r="H558">
        <v>2</v>
      </c>
      <c r="I558" t="s">
        <v>3069</v>
      </c>
      <c r="J558">
        <v>654.27</v>
      </c>
    </row>
    <row r="559" spans="1:10" x14ac:dyDescent="0.25">
      <c r="A559" t="s">
        <v>567</v>
      </c>
      <c r="B559" t="s">
        <v>1767</v>
      </c>
      <c r="C559" t="s">
        <v>2401</v>
      </c>
      <c r="D559">
        <v>1</v>
      </c>
      <c r="E559">
        <v>56.2</v>
      </c>
      <c r="F559" t="s">
        <v>2814</v>
      </c>
      <c r="G559" t="s">
        <v>3061</v>
      </c>
      <c r="H559">
        <v>1</v>
      </c>
      <c r="I559" t="s">
        <v>3069</v>
      </c>
      <c r="J559">
        <v>56.2</v>
      </c>
    </row>
    <row r="560" spans="1:10" x14ac:dyDescent="0.25">
      <c r="A560" t="s">
        <v>568</v>
      </c>
      <c r="B560" t="s">
        <v>1768</v>
      </c>
      <c r="C560" t="s">
        <v>2400</v>
      </c>
      <c r="D560">
        <v>4</v>
      </c>
      <c r="E560">
        <v>628.12</v>
      </c>
      <c r="F560" t="s">
        <v>2815</v>
      </c>
      <c r="G560" t="s">
        <v>3062</v>
      </c>
      <c r="H560">
        <v>6</v>
      </c>
      <c r="I560" t="s">
        <v>3066</v>
      </c>
      <c r="J560">
        <v>2512.48</v>
      </c>
    </row>
    <row r="561" spans="1:10" x14ac:dyDescent="0.25">
      <c r="A561" t="s">
        <v>569</v>
      </c>
      <c r="B561" t="s">
        <v>1769</v>
      </c>
      <c r="C561" t="s">
        <v>2405</v>
      </c>
      <c r="D561">
        <v>3</v>
      </c>
      <c r="E561">
        <v>157.4</v>
      </c>
      <c r="F561" t="s">
        <v>2786</v>
      </c>
      <c r="G561" t="s">
        <v>3061</v>
      </c>
      <c r="H561">
        <v>7</v>
      </c>
      <c r="I561" t="s">
        <v>3068</v>
      </c>
      <c r="J561">
        <v>472.2</v>
      </c>
    </row>
    <row r="562" spans="1:10" x14ac:dyDescent="0.25">
      <c r="A562" t="s">
        <v>570</v>
      </c>
      <c r="B562" t="s">
        <v>1770</v>
      </c>
      <c r="C562" t="s">
        <v>2399</v>
      </c>
      <c r="D562">
        <v>4</v>
      </c>
      <c r="E562">
        <v>588.85</v>
      </c>
      <c r="F562" t="s">
        <v>2816</v>
      </c>
      <c r="G562" t="s">
        <v>3064</v>
      </c>
      <c r="H562">
        <v>7</v>
      </c>
      <c r="I562" t="s">
        <v>3068</v>
      </c>
      <c r="J562">
        <v>2355.4</v>
      </c>
    </row>
    <row r="563" spans="1:10" x14ac:dyDescent="0.25">
      <c r="A563" t="s">
        <v>571</v>
      </c>
      <c r="B563" t="s">
        <v>1771</v>
      </c>
      <c r="C563" t="s">
        <v>2403</v>
      </c>
      <c r="D563">
        <v>2</v>
      </c>
      <c r="E563">
        <v>494.78</v>
      </c>
      <c r="F563" t="s">
        <v>2817</v>
      </c>
      <c r="G563" t="s">
        <v>3062</v>
      </c>
      <c r="H563">
        <v>2</v>
      </c>
      <c r="I563" t="s">
        <v>3070</v>
      </c>
      <c r="J563">
        <v>989.56</v>
      </c>
    </row>
    <row r="564" spans="1:10" x14ac:dyDescent="0.25">
      <c r="A564" t="s">
        <v>572</v>
      </c>
      <c r="B564" t="s">
        <v>1772</v>
      </c>
      <c r="C564" t="s">
        <v>2404</v>
      </c>
      <c r="D564">
        <v>3</v>
      </c>
      <c r="E564">
        <v>663.93</v>
      </c>
      <c r="F564" t="s">
        <v>2496</v>
      </c>
      <c r="G564" t="s">
        <v>3064</v>
      </c>
      <c r="H564">
        <v>6</v>
      </c>
      <c r="I564" t="s">
        <v>3068</v>
      </c>
      <c r="J564">
        <v>1991.79</v>
      </c>
    </row>
    <row r="565" spans="1:10" x14ac:dyDescent="0.25">
      <c r="A565" t="s">
        <v>573</v>
      </c>
      <c r="B565" t="s">
        <v>1773</v>
      </c>
      <c r="C565" t="s">
        <v>2404</v>
      </c>
      <c r="D565">
        <v>1</v>
      </c>
      <c r="E565">
        <v>132.68</v>
      </c>
      <c r="F565" t="s">
        <v>2818</v>
      </c>
      <c r="G565" t="s">
        <v>3061</v>
      </c>
      <c r="H565">
        <v>1</v>
      </c>
      <c r="I565" t="s">
        <v>3067</v>
      </c>
      <c r="J565">
        <v>132.68</v>
      </c>
    </row>
    <row r="566" spans="1:10" x14ac:dyDescent="0.25">
      <c r="A566" t="s">
        <v>574</v>
      </c>
      <c r="B566" t="s">
        <v>1774</v>
      </c>
      <c r="C566" t="s">
        <v>2405</v>
      </c>
      <c r="D566">
        <v>5</v>
      </c>
      <c r="E566">
        <v>364.28</v>
      </c>
      <c r="F566" t="s">
        <v>2819</v>
      </c>
      <c r="G566" t="s">
        <v>3063</v>
      </c>
      <c r="H566">
        <v>5</v>
      </c>
      <c r="I566" t="s">
        <v>3070</v>
      </c>
      <c r="J566">
        <v>1821.4</v>
      </c>
    </row>
    <row r="567" spans="1:10" x14ac:dyDescent="0.25">
      <c r="A567" t="s">
        <v>575</v>
      </c>
      <c r="B567" t="s">
        <v>1775</v>
      </c>
      <c r="C567" t="s">
        <v>2401</v>
      </c>
      <c r="D567">
        <v>5</v>
      </c>
      <c r="E567">
        <v>307.98</v>
      </c>
      <c r="F567" t="s">
        <v>2766</v>
      </c>
      <c r="G567" t="s">
        <v>3062</v>
      </c>
      <c r="H567">
        <v>10</v>
      </c>
      <c r="I567" t="s">
        <v>3069</v>
      </c>
      <c r="J567">
        <v>1539.9</v>
      </c>
    </row>
    <row r="568" spans="1:10" x14ac:dyDescent="0.25">
      <c r="A568" t="s">
        <v>576</v>
      </c>
      <c r="B568" t="s">
        <v>1776</v>
      </c>
      <c r="C568" t="s">
        <v>2400</v>
      </c>
      <c r="D568">
        <v>4</v>
      </c>
      <c r="E568">
        <v>162.71</v>
      </c>
      <c r="F568" t="s">
        <v>2820</v>
      </c>
      <c r="G568" t="s">
        <v>3065</v>
      </c>
      <c r="H568">
        <v>7</v>
      </c>
      <c r="I568" t="s">
        <v>3068</v>
      </c>
      <c r="J568">
        <v>650.84</v>
      </c>
    </row>
    <row r="569" spans="1:10" x14ac:dyDescent="0.25">
      <c r="A569" t="s">
        <v>577</v>
      </c>
      <c r="B569" t="s">
        <v>1777</v>
      </c>
      <c r="C569" t="s">
        <v>2402</v>
      </c>
      <c r="D569">
        <v>5</v>
      </c>
      <c r="E569">
        <v>492.94</v>
      </c>
      <c r="F569" t="s">
        <v>2628</v>
      </c>
      <c r="G569" t="s">
        <v>3065</v>
      </c>
      <c r="H569">
        <v>10</v>
      </c>
      <c r="I569" t="s">
        <v>3068</v>
      </c>
      <c r="J569">
        <v>2464.6999999999998</v>
      </c>
    </row>
    <row r="570" spans="1:10" x14ac:dyDescent="0.25">
      <c r="A570" t="s">
        <v>578</v>
      </c>
      <c r="B570" t="s">
        <v>1778</v>
      </c>
      <c r="C570" t="s">
        <v>2404</v>
      </c>
      <c r="D570">
        <v>2</v>
      </c>
      <c r="E570">
        <v>343.99</v>
      </c>
      <c r="F570" t="s">
        <v>2710</v>
      </c>
      <c r="G570" t="s">
        <v>3062</v>
      </c>
      <c r="H570">
        <v>4</v>
      </c>
      <c r="I570" t="s">
        <v>3070</v>
      </c>
      <c r="J570">
        <v>687.98</v>
      </c>
    </row>
    <row r="571" spans="1:10" x14ac:dyDescent="0.25">
      <c r="A571" t="s">
        <v>579</v>
      </c>
      <c r="B571" t="s">
        <v>1779</v>
      </c>
      <c r="C571" t="s">
        <v>2405</v>
      </c>
      <c r="D571">
        <v>5</v>
      </c>
      <c r="E571">
        <v>250.68</v>
      </c>
      <c r="F571" t="s">
        <v>2770</v>
      </c>
      <c r="G571" t="s">
        <v>3065</v>
      </c>
      <c r="H571">
        <v>8</v>
      </c>
      <c r="I571" t="s">
        <v>3066</v>
      </c>
      <c r="J571">
        <v>1253.4000000000001</v>
      </c>
    </row>
    <row r="572" spans="1:10" x14ac:dyDescent="0.25">
      <c r="A572" t="s">
        <v>580</v>
      </c>
      <c r="B572" t="s">
        <v>1780</v>
      </c>
      <c r="C572" t="s">
        <v>2405</v>
      </c>
      <c r="D572">
        <v>2</v>
      </c>
      <c r="E572">
        <v>362.14</v>
      </c>
      <c r="F572" t="s">
        <v>2514</v>
      </c>
      <c r="G572" t="s">
        <v>3061</v>
      </c>
      <c r="H572">
        <v>2</v>
      </c>
      <c r="I572" t="s">
        <v>3066</v>
      </c>
      <c r="J572">
        <v>724.28</v>
      </c>
    </row>
    <row r="573" spans="1:10" x14ac:dyDescent="0.25">
      <c r="A573" t="s">
        <v>581</v>
      </c>
      <c r="B573" t="s">
        <v>1781</v>
      </c>
      <c r="C573" t="s">
        <v>2401</v>
      </c>
      <c r="D573">
        <v>1</v>
      </c>
      <c r="E573">
        <v>214.08</v>
      </c>
      <c r="F573" t="s">
        <v>2775</v>
      </c>
      <c r="G573" t="s">
        <v>3064</v>
      </c>
      <c r="H573">
        <v>2</v>
      </c>
      <c r="I573" t="s">
        <v>3070</v>
      </c>
      <c r="J573">
        <v>214.08</v>
      </c>
    </row>
    <row r="574" spans="1:10" x14ac:dyDescent="0.25">
      <c r="A574" t="s">
        <v>582</v>
      </c>
      <c r="B574" t="s">
        <v>1782</v>
      </c>
      <c r="C574" t="s">
        <v>2403</v>
      </c>
      <c r="D574">
        <v>1</v>
      </c>
      <c r="E574">
        <v>70.319999999999993</v>
      </c>
      <c r="F574" t="s">
        <v>2718</v>
      </c>
      <c r="G574" t="s">
        <v>3065</v>
      </c>
      <c r="H574">
        <v>4</v>
      </c>
      <c r="I574" t="s">
        <v>3069</v>
      </c>
      <c r="J574">
        <v>70.319999999999993</v>
      </c>
    </row>
    <row r="575" spans="1:10" x14ac:dyDescent="0.25">
      <c r="A575" t="s">
        <v>583</v>
      </c>
      <c r="B575" t="s">
        <v>1783</v>
      </c>
      <c r="C575" t="s">
        <v>2402</v>
      </c>
      <c r="D575">
        <v>5</v>
      </c>
      <c r="E575">
        <v>421.42</v>
      </c>
      <c r="F575" t="s">
        <v>2507</v>
      </c>
      <c r="G575" t="s">
        <v>3061</v>
      </c>
      <c r="H575">
        <v>7</v>
      </c>
      <c r="I575" t="s">
        <v>3066</v>
      </c>
      <c r="J575">
        <v>2107.1</v>
      </c>
    </row>
    <row r="576" spans="1:10" x14ac:dyDescent="0.25">
      <c r="A576" t="s">
        <v>584</v>
      </c>
      <c r="B576" t="s">
        <v>1784</v>
      </c>
      <c r="C576" t="s">
        <v>2402</v>
      </c>
      <c r="D576">
        <v>5</v>
      </c>
      <c r="E576">
        <v>384.69</v>
      </c>
      <c r="F576" t="s">
        <v>2409</v>
      </c>
      <c r="G576" t="s">
        <v>3063</v>
      </c>
      <c r="H576">
        <v>6</v>
      </c>
      <c r="I576" t="s">
        <v>3068</v>
      </c>
      <c r="J576">
        <v>1923.45</v>
      </c>
    </row>
    <row r="577" spans="1:10" x14ac:dyDescent="0.25">
      <c r="A577" t="s">
        <v>585</v>
      </c>
      <c r="B577" t="s">
        <v>1785</v>
      </c>
      <c r="C577" t="s">
        <v>2402</v>
      </c>
      <c r="D577">
        <v>5</v>
      </c>
      <c r="E577">
        <v>448.15</v>
      </c>
      <c r="F577" t="s">
        <v>2821</v>
      </c>
      <c r="G577" t="s">
        <v>3064</v>
      </c>
      <c r="H577">
        <v>7</v>
      </c>
      <c r="I577" t="s">
        <v>3070</v>
      </c>
      <c r="J577">
        <v>2240.75</v>
      </c>
    </row>
    <row r="578" spans="1:10" x14ac:dyDescent="0.25">
      <c r="A578" t="s">
        <v>586</v>
      </c>
      <c r="B578" t="s">
        <v>1786</v>
      </c>
      <c r="C578" t="s">
        <v>2404</v>
      </c>
      <c r="D578">
        <v>5</v>
      </c>
      <c r="E578">
        <v>79.08</v>
      </c>
      <c r="F578" t="s">
        <v>2706</v>
      </c>
      <c r="G578" t="s">
        <v>3065</v>
      </c>
      <c r="H578">
        <v>8</v>
      </c>
      <c r="I578" t="s">
        <v>3069</v>
      </c>
      <c r="J578">
        <v>395.4</v>
      </c>
    </row>
    <row r="579" spans="1:10" x14ac:dyDescent="0.25">
      <c r="A579" t="s">
        <v>587</v>
      </c>
      <c r="B579" t="s">
        <v>1787</v>
      </c>
      <c r="C579" t="s">
        <v>2401</v>
      </c>
      <c r="D579">
        <v>4</v>
      </c>
      <c r="E579">
        <v>185.41</v>
      </c>
      <c r="F579" t="s">
        <v>2484</v>
      </c>
      <c r="G579" t="s">
        <v>3062</v>
      </c>
      <c r="H579">
        <v>9</v>
      </c>
      <c r="I579" t="s">
        <v>3070</v>
      </c>
      <c r="J579">
        <v>741.64</v>
      </c>
    </row>
    <row r="580" spans="1:10" x14ac:dyDescent="0.25">
      <c r="A580" t="s">
        <v>588</v>
      </c>
      <c r="B580" t="s">
        <v>1788</v>
      </c>
      <c r="C580" t="s">
        <v>2399</v>
      </c>
      <c r="D580">
        <v>5</v>
      </c>
      <c r="E580">
        <v>566.07000000000005</v>
      </c>
      <c r="F580" t="s">
        <v>2426</v>
      </c>
      <c r="G580" t="s">
        <v>3063</v>
      </c>
      <c r="H580">
        <v>6</v>
      </c>
      <c r="I580" t="s">
        <v>3066</v>
      </c>
      <c r="J580">
        <v>2830.35</v>
      </c>
    </row>
    <row r="581" spans="1:10" x14ac:dyDescent="0.25">
      <c r="A581" t="s">
        <v>589</v>
      </c>
      <c r="B581" t="s">
        <v>1789</v>
      </c>
      <c r="C581" t="s">
        <v>2401</v>
      </c>
      <c r="D581">
        <v>2</v>
      </c>
      <c r="E581">
        <v>187.88</v>
      </c>
      <c r="F581" t="s">
        <v>2675</v>
      </c>
      <c r="G581" t="s">
        <v>3062</v>
      </c>
      <c r="H581">
        <v>4</v>
      </c>
      <c r="I581" t="s">
        <v>3069</v>
      </c>
      <c r="J581">
        <v>375.76</v>
      </c>
    </row>
    <row r="582" spans="1:10" x14ac:dyDescent="0.25">
      <c r="A582" t="s">
        <v>590</v>
      </c>
      <c r="B582" t="s">
        <v>1790</v>
      </c>
      <c r="C582" t="s">
        <v>2399</v>
      </c>
      <c r="D582">
        <v>2</v>
      </c>
      <c r="E582">
        <v>255.99</v>
      </c>
      <c r="F582" t="s">
        <v>2822</v>
      </c>
      <c r="G582" t="s">
        <v>3063</v>
      </c>
      <c r="H582">
        <v>4</v>
      </c>
      <c r="I582" t="s">
        <v>3066</v>
      </c>
      <c r="J582">
        <v>511.98</v>
      </c>
    </row>
    <row r="583" spans="1:10" x14ac:dyDescent="0.25">
      <c r="A583" t="s">
        <v>591</v>
      </c>
      <c r="B583" t="s">
        <v>1791</v>
      </c>
      <c r="C583" t="s">
        <v>2404</v>
      </c>
      <c r="D583">
        <v>1</v>
      </c>
      <c r="E583">
        <v>627.34</v>
      </c>
      <c r="F583" t="s">
        <v>2421</v>
      </c>
      <c r="G583" t="s">
        <v>3062</v>
      </c>
      <c r="H583">
        <v>1</v>
      </c>
      <c r="I583" t="s">
        <v>3067</v>
      </c>
      <c r="J583">
        <v>627.34</v>
      </c>
    </row>
    <row r="584" spans="1:10" x14ac:dyDescent="0.25">
      <c r="A584" t="s">
        <v>592</v>
      </c>
      <c r="B584" t="s">
        <v>1792</v>
      </c>
      <c r="C584" t="s">
        <v>2401</v>
      </c>
      <c r="D584">
        <v>3</v>
      </c>
      <c r="E584">
        <v>474.14</v>
      </c>
      <c r="F584" t="s">
        <v>2723</v>
      </c>
      <c r="G584" t="s">
        <v>3064</v>
      </c>
      <c r="H584">
        <v>8</v>
      </c>
      <c r="I584" t="s">
        <v>3070</v>
      </c>
      <c r="J584">
        <v>1422.42</v>
      </c>
    </row>
    <row r="585" spans="1:10" x14ac:dyDescent="0.25">
      <c r="A585" t="s">
        <v>593</v>
      </c>
      <c r="B585" t="s">
        <v>1793</v>
      </c>
      <c r="C585" t="s">
        <v>2402</v>
      </c>
      <c r="D585">
        <v>3</v>
      </c>
      <c r="E585">
        <v>154.37</v>
      </c>
      <c r="F585" t="s">
        <v>2437</v>
      </c>
      <c r="G585" t="s">
        <v>3064</v>
      </c>
      <c r="H585">
        <v>4</v>
      </c>
      <c r="I585" t="s">
        <v>3066</v>
      </c>
      <c r="J585">
        <v>463.11</v>
      </c>
    </row>
    <row r="586" spans="1:10" x14ac:dyDescent="0.25">
      <c r="A586" t="s">
        <v>594</v>
      </c>
      <c r="B586" t="s">
        <v>1794</v>
      </c>
      <c r="C586" t="s">
        <v>2402</v>
      </c>
      <c r="D586">
        <v>4</v>
      </c>
      <c r="E586">
        <v>145.05000000000001</v>
      </c>
      <c r="F586" t="s">
        <v>2823</v>
      </c>
      <c r="G586" t="s">
        <v>3062</v>
      </c>
      <c r="H586">
        <v>6</v>
      </c>
      <c r="I586" t="s">
        <v>3070</v>
      </c>
      <c r="J586">
        <v>580.20000000000005</v>
      </c>
    </row>
    <row r="587" spans="1:10" x14ac:dyDescent="0.25">
      <c r="A587" t="s">
        <v>595</v>
      </c>
      <c r="B587" t="s">
        <v>1795</v>
      </c>
      <c r="C587" t="s">
        <v>2401</v>
      </c>
      <c r="D587">
        <v>4</v>
      </c>
      <c r="E587">
        <v>67.08</v>
      </c>
      <c r="F587" t="s">
        <v>2705</v>
      </c>
      <c r="G587" t="s">
        <v>3065</v>
      </c>
      <c r="H587">
        <v>8</v>
      </c>
      <c r="I587" t="s">
        <v>3070</v>
      </c>
      <c r="J587">
        <v>268.32</v>
      </c>
    </row>
    <row r="588" spans="1:10" x14ac:dyDescent="0.25">
      <c r="A588" t="s">
        <v>596</v>
      </c>
      <c r="B588" t="s">
        <v>1796</v>
      </c>
      <c r="C588" t="s">
        <v>2399</v>
      </c>
      <c r="D588">
        <v>1</v>
      </c>
      <c r="E588">
        <v>522.08000000000004</v>
      </c>
      <c r="F588" t="s">
        <v>2824</v>
      </c>
      <c r="G588" t="s">
        <v>3064</v>
      </c>
      <c r="H588">
        <v>5</v>
      </c>
      <c r="I588" t="s">
        <v>3067</v>
      </c>
      <c r="J588">
        <v>522.08000000000004</v>
      </c>
    </row>
    <row r="589" spans="1:10" x14ac:dyDescent="0.25">
      <c r="A589" t="s">
        <v>597</v>
      </c>
      <c r="B589" t="s">
        <v>1797</v>
      </c>
      <c r="C589" t="s">
        <v>2399</v>
      </c>
      <c r="D589">
        <v>5</v>
      </c>
      <c r="E589">
        <v>514.6</v>
      </c>
      <c r="F589" t="s">
        <v>2825</v>
      </c>
      <c r="G589" t="s">
        <v>3064</v>
      </c>
      <c r="H589">
        <v>10</v>
      </c>
      <c r="I589" t="s">
        <v>3066</v>
      </c>
      <c r="J589">
        <v>2573</v>
      </c>
    </row>
    <row r="590" spans="1:10" x14ac:dyDescent="0.25">
      <c r="A590" t="s">
        <v>598</v>
      </c>
      <c r="B590" t="s">
        <v>1798</v>
      </c>
      <c r="C590" t="s">
        <v>2399</v>
      </c>
      <c r="D590">
        <v>4</v>
      </c>
      <c r="E590">
        <v>577.82000000000005</v>
      </c>
      <c r="F590" t="s">
        <v>2461</v>
      </c>
      <c r="G590" t="s">
        <v>3063</v>
      </c>
      <c r="H590">
        <v>9</v>
      </c>
      <c r="I590" t="s">
        <v>3070</v>
      </c>
      <c r="J590">
        <v>2311.2800000000002</v>
      </c>
    </row>
    <row r="591" spans="1:10" x14ac:dyDescent="0.25">
      <c r="A591" t="s">
        <v>599</v>
      </c>
      <c r="B591" t="s">
        <v>1799</v>
      </c>
      <c r="C591" t="s">
        <v>2404</v>
      </c>
      <c r="D591">
        <v>2</v>
      </c>
      <c r="E591">
        <v>500.8</v>
      </c>
      <c r="F591" t="s">
        <v>2826</v>
      </c>
      <c r="G591" t="s">
        <v>3065</v>
      </c>
      <c r="H591">
        <v>3</v>
      </c>
      <c r="I591" t="s">
        <v>3067</v>
      </c>
      <c r="J591">
        <v>1001.6</v>
      </c>
    </row>
    <row r="592" spans="1:10" x14ac:dyDescent="0.25">
      <c r="A592" t="s">
        <v>600</v>
      </c>
      <c r="B592" t="s">
        <v>1800</v>
      </c>
      <c r="C592" t="s">
        <v>2403</v>
      </c>
      <c r="D592">
        <v>2</v>
      </c>
      <c r="E592">
        <v>461.13</v>
      </c>
      <c r="F592" t="s">
        <v>2827</v>
      </c>
      <c r="G592" t="s">
        <v>3064</v>
      </c>
      <c r="H592">
        <v>4</v>
      </c>
      <c r="I592" t="s">
        <v>3068</v>
      </c>
      <c r="J592">
        <v>922.26</v>
      </c>
    </row>
    <row r="593" spans="1:10" x14ac:dyDescent="0.25">
      <c r="A593" t="s">
        <v>601</v>
      </c>
      <c r="B593" t="s">
        <v>1801</v>
      </c>
      <c r="C593" t="s">
        <v>2404</v>
      </c>
      <c r="D593">
        <v>1</v>
      </c>
      <c r="E593">
        <v>605.28</v>
      </c>
      <c r="F593" t="s">
        <v>2828</v>
      </c>
      <c r="G593" t="s">
        <v>3064</v>
      </c>
      <c r="H593">
        <v>3</v>
      </c>
      <c r="I593" t="s">
        <v>3067</v>
      </c>
      <c r="J593">
        <v>605.28</v>
      </c>
    </row>
    <row r="594" spans="1:10" x14ac:dyDescent="0.25">
      <c r="A594" t="s">
        <v>602</v>
      </c>
      <c r="B594" t="s">
        <v>1802</v>
      </c>
      <c r="C594" t="s">
        <v>2400</v>
      </c>
      <c r="D594">
        <v>3</v>
      </c>
      <c r="E594">
        <v>204.27</v>
      </c>
      <c r="F594" t="s">
        <v>2799</v>
      </c>
      <c r="G594" t="s">
        <v>3062</v>
      </c>
      <c r="H594">
        <v>4</v>
      </c>
      <c r="I594" t="s">
        <v>3070</v>
      </c>
      <c r="J594">
        <v>612.81000000000006</v>
      </c>
    </row>
    <row r="595" spans="1:10" x14ac:dyDescent="0.25">
      <c r="A595" t="s">
        <v>603</v>
      </c>
      <c r="B595" t="s">
        <v>1803</v>
      </c>
      <c r="C595" t="s">
        <v>2399</v>
      </c>
      <c r="D595">
        <v>1</v>
      </c>
      <c r="E595">
        <v>489.8</v>
      </c>
      <c r="F595" t="s">
        <v>2531</v>
      </c>
      <c r="G595" t="s">
        <v>3064</v>
      </c>
      <c r="H595">
        <v>4</v>
      </c>
      <c r="I595" t="s">
        <v>3069</v>
      </c>
      <c r="J595">
        <v>489.8</v>
      </c>
    </row>
    <row r="596" spans="1:10" x14ac:dyDescent="0.25">
      <c r="A596" t="s">
        <v>604</v>
      </c>
      <c r="B596" t="s">
        <v>1804</v>
      </c>
      <c r="C596" t="s">
        <v>2400</v>
      </c>
      <c r="D596">
        <v>5</v>
      </c>
      <c r="E596">
        <v>72.64</v>
      </c>
      <c r="F596" t="s">
        <v>2534</v>
      </c>
      <c r="G596" t="s">
        <v>3063</v>
      </c>
      <c r="H596">
        <v>7</v>
      </c>
      <c r="I596" t="s">
        <v>3068</v>
      </c>
      <c r="J596">
        <v>363.2</v>
      </c>
    </row>
    <row r="597" spans="1:10" x14ac:dyDescent="0.25">
      <c r="A597" t="s">
        <v>605</v>
      </c>
      <c r="B597" t="s">
        <v>1805</v>
      </c>
      <c r="C597" t="s">
        <v>2403</v>
      </c>
      <c r="D597">
        <v>2</v>
      </c>
      <c r="E597">
        <v>385.16</v>
      </c>
      <c r="F597" t="s">
        <v>2829</v>
      </c>
      <c r="G597" t="s">
        <v>3062</v>
      </c>
      <c r="H597">
        <v>7</v>
      </c>
      <c r="I597" t="s">
        <v>3068</v>
      </c>
      <c r="J597">
        <v>770.32</v>
      </c>
    </row>
    <row r="598" spans="1:10" x14ac:dyDescent="0.25">
      <c r="A598" t="s">
        <v>606</v>
      </c>
      <c r="B598" t="s">
        <v>1806</v>
      </c>
      <c r="C598" t="s">
        <v>2405</v>
      </c>
      <c r="D598">
        <v>3</v>
      </c>
      <c r="E598">
        <v>606.41</v>
      </c>
      <c r="F598" t="s">
        <v>2830</v>
      </c>
      <c r="G598" t="s">
        <v>3061</v>
      </c>
      <c r="H598">
        <v>7</v>
      </c>
      <c r="I598" t="s">
        <v>3069</v>
      </c>
      <c r="J598">
        <v>1819.23</v>
      </c>
    </row>
    <row r="599" spans="1:10" x14ac:dyDescent="0.25">
      <c r="A599" t="s">
        <v>607</v>
      </c>
      <c r="B599" t="s">
        <v>1807</v>
      </c>
      <c r="C599" t="s">
        <v>2405</v>
      </c>
      <c r="D599">
        <v>2</v>
      </c>
      <c r="E599">
        <v>211.82</v>
      </c>
      <c r="F599" t="s">
        <v>2831</v>
      </c>
      <c r="G599" t="s">
        <v>3064</v>
      </c>
      <c r="H599">
        <v>4</v>
      </c>
      <c r="I599" t="s">
        <v>3068</v>
      </c>
      <c r="J599">
        <v>423.64</v>
      </c>
    </row>
    <row r="600" spans="1:10" x14ac:dyDescent="0.25">
      <c r="A600" t="s">
        <v>608</v>
      </c>
      <c r="B600" t="s">
        <v>1808</v>
      </c>
      <c r="C600" t="s">
        <v>2405</v>
      </c>
      <c r="D600">
        <v>5</v>
      </c>
      <c r="E600">
        <v>495.35</v>
      </c>
      <c r="F600" t="s">
        <v>2689</v>
      </c>
      <c r="G600" t="s">
        <v>3063</v>
      </c>
      <c r="H600">
        <v>5</v>
      </c>
      <c r="I600" t="s">
        <v>3069</v>
      </c>
      <c r="J600">
        <v>2476.75</v>
      </c>
    </row>
    <row r="601" spans="1:10" x14ac:dyDescent="0.25">
      <c r="A601" t="s">
        <v>609</v>
      </c>
      <c r="B601" t="s">
        <v>1809</v>
      </c>
      <c r="C601" t="s">
        <v>2402</v>
      </c>
      <c r="D601">
        <v>3</v>
      </c>
      <c r="E601">
        <v>556.99</v>
      </c>
      <c r="F601" t="s">
        <v>2735</v>
      </c>
      <c r="G601" t="s">
        <v>3062</v>
      </c>
      <c r="H601">
        <v>4</v>
      </c>
      <c r="I601" t="s">
        <v>3069</v>
      </c>
      <c r="J601">
        <v>1670.97</v>
      </c>
    </row>
    <row r="602" spans="1:10" x14ac:dyDescent="0.25">
      <c r="A602" t="s">
        <v>610</v>
      </c>
      <c r="B602" t="s">
        <v>1810</v>
      </c>
      <c r="C602" t="s">
        <v>2403</v>
      </c>
      <c r="D602">
        <v>1</v>
      </c>
      <c r="E602">
        <v>72.31</v>
      </c>
      <c r="F602" t="s">
        <v>2629</v>
      </c>
      <c r="G602" t="s">
        <v>3064</v>
      </c>
      <c r="H602">
        <v>1</v>
      </c>
      <c r="I602" t="s">
        <v>3069</v>
      </c>
      <c r="J602">
        <v>72.31</v>
      </c>
    </row>
    <row r="603" spans="1:10" x14ac:dyDescent="0.25">
      <c r="A603" t="s">
        <v>611</v>
      </c>
      <c r="B603" t="s">
        <v>1811</v>
      </c>
      <c r="C603" t="s">
        <v>2399</v>
      </c>
      <c r="D603">
        <v>5</v>
      </c>
      <c r="E603">
        <v>24.82</v>
      </c>
      <c r="F603" t="s">
        <v>2832</v>
      </c>
      <c r="G603" t="s">
        <v>3063</v>
      </c>
      <c r="H603">
        <v>10</v>
      </c>
      <c r="I603" t="s">
        <v>3067</v>
      </c>
      <c r="J603">
        <v>124.1</v>
      </c>
    </row>
    <row r="604" spans="1:10" x14ac:dyDescent="0.25">
      <c r="A604" t="s">
        <v>612</v>
      </c>
      <c r="B604" t="s">
        <v>1692</v>
      </c>
      <c r="C604" t="s">
        <v>2401</v>
      </c>
      <c r="D604">
        <v>4</v>
      </c>
      <c r="E604">
        <v>26.04</v>
      </c>
      <c r="F604" t="s">
        <v>2778</v>
      </c>
      <c r="G604" t="s">
        <v>3062</v>
      </c>
      <c r="H604">
        <v>5</v>
      </c>
      <c r="I604" t="s">
        <v>3066</v>
      </c>
      <c r="J604">
        <v>104.16</v>
      </c>
    </row>
    <row r="605" spans="1:10" x14ac:dyDescent="0.25">
      <c r="A605" t="s">
        <v>613</v>
      </c>
      <c r="B605" t="s">
        <v>1812</v>
      </c>
      <c r="C605" t="s">
        <v>2401</v>
      </c>
      <c r="D605">
        <v>1</v>
      </c>
      <c r="E605">
        <v>657.07</v>
      </c>
      <c r="F605" t="s">
        <v>2833</v>
      </c>
      <c r="G605" t="s">
        <v>3065</v>
      </c>
      <c r="H605">
        <v>4</v>
      </c>
      <c r="I605" t="s">
        <v>3070</v>
      </c>
      <c r="J605">
        <v>657.07</v>
      </c>
    </row>
    <row r="606" spans="1:10" x14ac:dyDescent="0.25">
      <c r="A606" t="s">
        <v>614</v>
      </c>
      <c r="B606" t="s">
        <v>1813</v>
      </c>
      <c r="C606" t="s">
        <v>2402</v>
      </c>
      <c r="D606">
        <v>3</v>
      </c>
      <c r="E606">
        <v>32.619999999999997</v>
      </c>
      <c r="F606" t="s">
        <v>2657</v>
      </c>
      <c r="G606" t="s">
        <v>3061</v>
      </c>
      <c r="H606">
        <v>6</v>
      </c>
      <c r="I606" t="s">
        <v>3069</v>
      </c>
      <c r="J606">
        <v>97.859999999999985</v>
      </c>
    </row>
    <row r="607" spans="1:10" x14ac:dyDescent="0.25">
      <c r="A607" t="s">
        <v>615</v>
      </c>
      <c r="B607" t="s">
        <v>1814</v>
      </c>
      <c r="C607" t="s">
        <v>2399</v>
      </c>
      <c r="D607">
        <v>2</v>
      </c>
      <c r="E607">
        <v>228.91</v>
      </c>
      <c r="F607" t="s">
        <v>2834</v>
      </c>
      <c r="G607" t="s">
        <v>3061</v>
      </c>
      <c r="H607">
        <v>4</v>
      </c>
      <c r="I607" t="s">
        <v>3067</v>
      </c>
      <c r="J607">
        <v>457.82</v>
      </c>
    </row>
    <row r="608" spans="1:10" x14ac:dyDescent="0.25">
      <c r="A608" t="s">
        <v>616</v>
      </c>
      <c r="B608" t="s">
        <v>1815</v>
      </c>
      <c r="C608" t="s">
        <v>2404</v>
      </c>
      <c r="D608">
        <v>3</v>
      </c>
      <c r="E608">
        <v>274.75</v>
      </c>
      <c r="F608" t="s">
        <v>2610</v>
      </c>
      <c r="G608" t="s">
        <v>3065</v>
      </c>
      <c r="H608">
        <v>3</v>
      </c>
      <c r="I608" t="s">
        <v>3070</v>
      </c>
      <c r="J608">
        <v>824.25</v>
      </c>
    </row>
    <row r="609" spans="1:10" x14ac:dyDescent="0.25">
      <c r="A609" t="s">
        <v>617</v>
      </c>
      <c r="B609" t="s">
        <v>1816</v>
      </c>
      <c r="C609" t="s">
        <v>2403</v>
      </c>
      <c r="D609">
        <v>4</v>
      </c>
      <c r="E609">
        <v>634.04999999999995</v>
      </c>
      <c r="F609" t="s">
        <v>2835</v>
      </c>
      <c r="G609" t="s">
        <v>3065</v>
      </c>
      <c r="H609">
        <v>6</v>
      </c>
      <c r="I609" t="s">
        <v>3070</v>
      </c>
      <c r="J609">
        <v>2536.1999999999998</v>
      </c>
    </row>
    <row r="610" spans="1:10" x14ac:dyDescent="0.25">
      <c r="A610" t="s">
        <v>618</v>
      </c>
      <c r="B610" t="s">
        <v>1817</v>
      </c>
      <c r="C610" t="s">
        <v>2404</v>
      </c>
      <c r="D610">
        <v>5</v>
      </c>
      <c r="E610">
        <v>543.16</v>
      </c>
      <c r="F610" t="s">
        <v>2836</v>
      </c>
      <c r="G610" t="s">
        <v>3062</v>
      </c>
      <c r="H610">
        <v>6</v>
      </c>
      <c r="I610" t="s">
        <v>3066</v>
      </c>
      <c r="J610">
        <v>2715.8</v>
      </c>
    </row>
    <row r="611" spans="1:10" x14ac:dyDescent="0.25">
      <c r="A611" t="s">
        <v>619</v>
      </c>
      <c r="B611" t="s">
        <v>1818</v>
      </c>
      <c r="C611" t="s">
        <v>2402</v>
      </c>
      <c r="D611">
        <v>3</v>
      </c>
      <c r="E611">
        <v>449.13</v>
      </c>
      <c r="F611" t="s">
        <v>2837</v>
      </c>
      <c r="G611" t="s">
        <v>3065</v>
      </c>
      <c r="H611">
        <v>5</v>
      </c>
      <c r="I611" t="s">
        <v>3067</v>
      </c>
      <c r="J611">
        <v>1347.39</v>
      </c>
    </row>
    <row r="612" spans="1:10" x14ac:dyDescent="0.25">
      <c r="A612" t="s">
        <v>620</v>
      </c>
      <c r="B612" t="s">
        <v>1819</v>
      </c>
      <c r="C612" t="s">
        <v>2405</v>
      </c>
      <c r="D612">
        <v>5</v>
      </c>
      <c r="E612">
        <v>389.62</v>
      </c>
      <c r="F612" t="s">
        <v>2456</v>
      </c>
      <c r="G612" t="s">
        <v>3065</v>
      </c>
      <c r="H612">
        <v>7</v>
      </c>
      <c r="I612" t="s">
        <v>3069</v>
      </c>
      <c r="J612">
        <v>1948.1</v>
      </c>
    </row>
    <row r="613" spans="1:10" x14ac:dyDescent="0.25">
      <c r="A613" t="s">
        <v>621</v>
      </c>
      <c r="B613" t="s">
        <v>1820</v>
      </c>
      <c r="C613" t="s">
        <v>2405</v>
      </c>
      <c r="D613">
        <v>1</v>
      </c>
      <c r="E613">
        <v>305.17</v>
      </c>
      <c r="F613" t="s">
        <v>2831</v>
      </c>
      <c r="G613" t="s">
        <v>3064</v>
      </c>
      <c r="H613">
        <v>3</v>
      </c>
      <c r="I613" t="s">
        <v>3067</v>
      </c>
      <c r="J613">
        <v>305.17</v>
      </c>
    </row>
    <row r="614" spans="1:10" x14ac:dyDescent="0.25">
      <c r="A614" t="s">
        <v>622</v>
      </c>
      <c r="B614" t="s">
        <v>1821</v>
      </c>
      <c r="C614" t="s">
        <v>2402</v>
      </c>
      <c r="D614">
        <v>3</v>
      </c>
      <c r="E614">
        <v>445.12</v>
      </c>
      <c r="F614" t="s">
        <v>2674</v>
      </c>
      <c r="G614" t="s">
        <v>3064</v>
      </c>
      <c r="H614">
        <v>8</v>
      </c>
      <c r="I614" t="s">
        <v>3070</v>
      </c>
      <c r="J614">
        <v>1335.36</v>
      </c>
    </row>
    <row r="615" spans="1:10" x14ac:dyDescent="0.25">
      <c r="A615" t="s">
        <v>623</v>
      </c>
      <c r="B615" t="s">
        <v>1822</v>
      </c>
      <c r="C615" t="s">
        <v>2404</v>
      </c>
      <c r="D615">
        <v>2</v>
      </c>
      <c r="E615">
        <v>230.36</v>
      </c>
      <c r="F615" t="s">
        <v>2838</v>
      </c>
      <c r="G615" t="s">
        <v>3062</v>
      </c>
      <c r="H615">
        <v>4</v>
      </c>
      <c r="I615" t="s">
        <v>3068</v>
      </c>
      <c r="J615">
        <v>460.72</v>
      </c>
    </row>
    <row r="616" spans="1:10" x14ac:dyDescent="0.25">
      <c r="A616" t="s">
        <v>624</v>
      </c>
      <c r="B616" t="s">
        <v>1823</v>
      </c>
      <c r="C616" t="s">
        <v>2400</v>
      </c>
      <c r="D616">
        <v>1</v>
      </c>
      <c r="E616">
        <v>96.81</v>
      </c>
      <c r="F616" t="s">
        <v>2517</v>
      </c>
      <c r="G616" t="s">
        <v>3064</v>
      </c>
      <c r="H616">
        <v>3</v>
      </c>
      <c r="I616" t="s">
        <v>3067</v>
      </c>
      <c r="J616">
        <v>96.81</v>
      </c>
    </row>
    <row r="617" spans="1:10" x14ac:dyDescent="0.25">
      <c r="A617" t="s">
        <v>625</v>
      </c>
      <c r="B617" t="s">
        <v>1824</v>
      </c>
      <c r="C617" t="s">
        <v>2399</v>
      </c>
      <c r="D617">
        <v>5</v>
      </c>
      <c r="E617">
        <v>460.14</v>
      </c>
      <c r="F617" t="s">
        <v>2657</v>
      </c>
      <c r="G617" t="s">
        <v>3063</v>
      </c>
      <c r="H617">
        <v>10</v>
      </c>
      <c r="I617" t="s">
        <v>3069</v>
      </c>
      <c r="J617">
        <v>2300.6999999999998</v>
      </c>
    </row>
    <row r="618" spans="1:10" x14ac:dyDescent="0.25">
      <c r="A618" t="s">
        <v>626</v>
      </c>
      <c r="B618" t="s">
        <v>1825</v>
      </c>
      <c r="C618" t="s">
        <v>2401</v>
      </c>
      <c r="D618">
        <v>3</v>
      </c>
      <c r="E618">
        <v>601.6</v>
      </c>
      <c r="F618" t="s">
        <v>2839</v>
      </c>
      <c r="G618" t="s">
        <v>3063</v>
      </c>
      <c r="H618">
        <v>7</v>
      </c>
      <c r="I618" t="s">
        <v>3069</v>
      </c>
      <c r="J618">
        <v>1804.8</v>
      </c>
    </row>
    <row r="619" spans="1:10" x14ac:dyDescent="0.25">
      <c r="A619" t="s">
        <v>627</v>
      </c>
      <c r="B619" t="s">
        <v>1826</v>
      </c>
      <c r="C619" t="s">
        <v>2401</v>
      </c>
      <c r="D619">
        <v>3</v>
      </c>
      <c r="E619">
        <v>184.47</v>
      </c>
      <c r="F619" t="s">
        <v>2840</v>
      </c>
      <c r="G619" t="s">
        <v>3062</v>
      </c>
      <c r="H619">
        <v>4</v>
      </c>
      <c r="I619" t="s">
        <v>3067</v>
      </c>
      <c r="J619">
        <v>553.41</v>
      </c>
    </row>
    <row r="620" spans="1:10" x14ac:dyDescent="0.25">
      <c r="A620" t="s">
        <v>628</v>
      </c>
      <c r="B620" t="s">
        <v>1827</v>
      </c>
      <c r="C620" t="s">
        <v>2401</v>
      </c>
      <c r="D620">
        <v>1</v>
      </c>
      <c r="E620">
        <v>411.34</v>
      </c>
      <c r="F620" t="s">
        <v>2841</v>
      </c>
      <c r="G620" t="s">
        <v>3061</v>
      </c>
      <c r="H620">
        <v>5</v>
      </c>
      <c r="I620" t="s">
        <v>3066</v>
      </c>
      <c r="J620">
        <v>411.34</v>
      </c>
    </row>
    <row r="621" spans="1:10" x14ac:dyDescent="0.25">
      <c r="A621" t="s">
        <v>629</v>
      </c>
      <c r="B621" t="s">
        <v>1828</v>
      </c>
      <c r="C621" t="s">
        <v>2404</v>
      </c>
      <c r="D621">
        <v>1</v>
      </c>
      <c r="E621">
        <v>532.89</v>
      </c>
      <c r="F621" t="s">
        <v>2779</v>
      </c>
      <c r="G621" t="s">
        <v>3064</v>
      </c>
      <c r="H621">
        <v>2</v>
      </c>
      <c r="I621" t="s">
        <v>3067</v>
      </c>
      <c r="J621">
        <v>532.89</v>
      </c>
    </row>
    <row r="622" spans="1:10" x14ac:dyDescent="0.25">
      <c r="A622" t="s">
        <v>630</v>
      </c>
      <c r="B622" t="s">
        <v>1829</v>
      </c>
      <c r="C622" t="s">
        <v>2401</v>
      </c>
      <c r="D622">
        <v>3</v>
      </c>
      <c r="E622">
        <v>136.34</v>
      </c>
      <c r="F622" t="s">
        <v>2842</v>
      </c>
      <c r="G622" t="s">
        <v>3061</v>
      </c>
      <c r="H622">
        <v>8</v>
      </c>
      <c r="I622" t="s">
        <v>3067</v>
      </c>
      <c r="J622">
        <v>409.02</v>
      </c>
    </row>
    <row r="623" spans="1:10" x14ac:dyDescent="0.25">
      <c r="A623" t="s">
        <v>631</v>
      </c>
      <c r="B623" t="s">
        <v>1830</v>
      </c>
      <c r="C623" t="s">
        <v>2400</v>
      </c>
      <c r="D623">
        <v>5</v>
      </c>
      <c r="E623">
        <v>476.01</v>
      </c>
      <c r="F623" t="s">
        <v>2478</v>
      </c>
      <c r="G623" t="s">
        <v>3063</v>
      </c>
      <c r="H623">
        <v>7</v>
      </c>
      <c r="I623" t="s">
        <v>3070</v>
      </c>
      <c r="J623">
        <v>2380.0500000000002</v>
      </c>
    </row>
    <row r="624" spans="1:10" x14ac:dyDescent="0.25">
      <c r="A624" t="s">
        <v>632</v>
      </c>
      <c r="B624" t="s">
        <v>1831</v>
      </c>
      <c r="C624" t="s">
        <v>2405</v>
      </c>
      <c r="D624">
        <v>5</v>
      </c>
      <c r="E624">
        <v>236.38</v>
      </c>
      <c r="F624" t="s">
        <v>2441</v>
      </c>
      <c r="G624" t="s">
        <v>3063</v>
      </c>
      <c r="H624">
        <v>7</v>
      </c>
      <c r="I624" t="s">
        <v>3069</v>
      </c>
      <c r="J624">
        <v>1181.9000000000001</v>
      </c>
    </row>
    <row r="625" spans="1:10" x14ac:dyDescent="0.25">
      <c r="A625" t="s">
        <v>633</v>
      </c>
      <c r="B625" t="s">
        <v>1832</v>
      </c>
      <c r="C625" t="s">
        <v>2403</v>
      </c>
      <c r="D625">
        <v>3</v>
      </c>
      <c r="E625">
        <v>396</v>
      </c>
      <c r="F625" t="s">
        <v>2843</v>
      </c>
      <c r="G625" t="s">
        <v>3064</v>
      </c>
      <c r="H625">
        <v>4</v>
      </c>
      <c r="I625" t="s">
        <v>3066</v>
      </c>
      <c r="J625">
        <v>1188</v>
      </c>
    </row>
    <row r="626" spans="1:10" x14ac:dyDescent="0.25">
      <c r="A626" t="s">
        <v>634</v>
      </c>
      <c r="B626" t="s">
        <v>1833</v>
      </c>
      <c r="C626" t="s">
        <v>2401</v>
      </c>
      <c r="D626">
        <v>5</v>
      </c>
      <c r="E626">
        <v>341.96</v>
      </c>
      <c r="F626" t="s">
        <v>2706</v>
      </c>
      <c r="G626" t="s">
        <v>3061</v>
      </c>
      <c r="H626">
        <v>6</v>
      </c>
      <c r="I626" t="s">
        <v>3068</v>
      </c>
      <c r="J626">
        <v>1709.8</v>
      </c>
    </row>
    <row r="627" spans="1:10" x14ac:dyDescent="0.25">
      <c r="A627" t="s">
        <v>635</v>
      </c>
      <c r="B627" t="s">
        <v>1834</v>
      </c>
      <c r="C627" t="s">
        <v>2401</v>
      </c>
      <c r="D627">
        <v>1</v>
      </c>
      <c r="E627">
        <v>672.89</v>
      </c>
      <c r="F627" t="s">
        <v>2844</v>
      </c>
      <c r="G627" t="s">
        <v>3063</v>
      </c>
      <c r="H627">
        <v>1</v>
      </c>
      <c r="I627" t="s">
        <v>3068</v>
      </c>
      <c r="J627">
        <v>672.89</v>
      </c>
    </row>
    <row r="628" spans="1:10" x14ac:dyDescent="0.25">
      <c r="A628" t="s">
        <v>636</v>
      </c>
      <c r="B628" t="s">
        <v>1835</v>
      </c>
      <c r="C628" t="s">
        <v>2401</v>
      </c>
      <c r="D628">
        <v>2</v>
      </c>
      <c r="E628">
        <v>657.48</v>
      </c>
      <c r="F628" t="s">
        <v>2741</v>
      </c>
      <c r="G628" t="s">
        <v>3062</v>
      </c>
      <c r="H628">
        <v>5</v>
      </c>
      <c r="I628" t="s">
        <v>3067</v>
      </c>
      <c r="J628">
        <v>1314.96</v>
      </c>
    </row>
    <row r="629" spans="1:10" x14ac:dyDescent="0.25">
      <c r="A629" t="s">
        <v>637</v>
      </c>
      <c r="B629" t="s">
        <v>1836</v>
      </c>
      <c r="C629" t="s">
        <v>2402</v>
      </c>
      <c r="D629">
        <v>3</v>
      </c>
      <c r="E629">
        <v>498.68</v>
      </c>
      <c r="F629" t="s">
        <v>2808</v>
      </c>
      <c r="G629" t="s">
        <v>3062</v>
      </c>
      <c r="H629">
        <v>4</v>
      </c>
      <c r="I629" t="s">
        <v>3068</v>
      </c>
      <c r="J629">
        <v>1496.04</v>
      </c>
    </row>
    <row r="630" spans="1:10" x14ac:dyDescent="0.25">
      <c r="A630" t="s">
        <v>638</v>
      </c>
      <c r="B630" t="s">
        <v>1837</v>
      </c>
      <c r="C630" t="s">
        <v>2403</v>
      </c>
      <c r="D630">
        <v>5</v>
      </c>
      <c r="E630">
        <v>558.63</v>
      </c>
      <c r="F630" t="s">
        <v>2845</v>
      </c>
      <c r="G630" t="s">
        <v>3065</v>
      </c>
      <c r="H630">
        <v>8</v>
      </c>
      <c r="I630" t="s">
        <v>3067</v>
      </c>
      <c r="J630">
        <v>2793.15</v>
      </c>
    </row>
    <row r="631" spans="1:10" x14ac:dyDescent="0.25">
      <c r="A631" t="s">
        <v>639</v>
      </c>
      <c r="B631" t="s">
        <v>1838</v>
      </c>
      <c r="C631" t="s">
        <v>2400</v>
      </c>
      <c r="D631">
        <v>3</v>
      </c>
      <c r="E631">
        <v>19.73</v>
      </c>
      <c r="F631" t="s">
        <v>2846</v>
      </c>
      <c r="G631" t="s">
        <v>3062</v>
      </c>
      <c r="H631">
        <v>3</v>
      </c>
      <c r="I631" t="s">
        <v>3067</v>
      </c>
      <c r="J631">
        <v>59.19</v>
      </c>
    </row>
    <row r="632" spans="1:10" x14ac:dyDescent="0.25">
      <c r="A632" t="s">
        <v>640</v>
      </c>
      <c r="B632" t="s">
        <v>1839</v>
      </c>
      <c r="C632" t="s">
        <v>2399</v>
      </c>
      <c r="D632">
        <v>5</v>
      </c>
      <c r="E632">
        <v>248.84</v>
      </c>
      <c r="F632" t="s">
        <v>2847</v>
      </c>
      <c r="G632" t="s">
        <v>3061</v>
      </c>
      <c r="H632">
        <v>10</v>
      </c>
      <c r="I632" t="s">
        <v>3066</v>
      </c>
      <c r="J632">
        <v>1244.2</v>
      </c>
    </row>
    <row r="633" spans="1:10" x14ac:dyDescent="0.25">
      <c r="A633" t="s">
        <v>641</v>
      </c>
      <c r="B633" t="s">
        <v>1840</v>
      </c>
      <c r="C633" t="s">
        <v>2402</v>
      </c>
      <c r="D633">
        <v>3</v>
      </c>
      <c r="E633">
        <v>46.11</v>
      </c>
      <c r="F633" t="s">
        <v>2641</v>
      </c>
      <c r="G633" t="s">
        <v>3064</v>
      </c>
      <c r="H633">
        <v>5</v>
      </c>
      <c r="I633" t="s">
        <v>3067</v>
      </c>
      <c r="J633">
        <v>138.33000000000001</v>
      </c>
    </row>
    <row r="634" spans="1:10" x14ac:dyDescent="0.25">
      <c r="A634" t="s">
        <v>642</v>
      </c>
      <c r="B634" t="s">
        <v>1841</v>
      </c>
      <c r="C634" t="s">
        <v>2404</v>
      </c>
      <c r="D634">
        <v>5</v>
      </c>
      <c r="E634">
        <v>678.16</v>
      </c>
      <c r="F634" t="s">
        <v>2625</v>
      </c>
      <c r="G634" t="s">
        <v>3064</v>
      </c>
      <c r="H634">
        <v>7</v>
      </c>
      <c r="I634" t="s">
        <v>3069</v>
      </c>
      <c r="J634">
        <v>3390.8</v>
      </c>
    </row>
    <row r="635" spans="1:10" x14ac:dyDescent="0.25">
      <c r="A635" t="s">
        <v>643</v>
      </c>
      <c r="B635" t="s">
        <v>1842</v>
      </c>
      <c r="C635" t="s">
        <v>2404</v>
      </c>
      <c r="D635">
        <v>5</v>
      </c>
      <c r="E635">
        <v>601.72</v>
      </c>
      <c r="F635" t="s">
        <v>2724</v>
      </c>
      <c r="G635" t="s">
        <v>3064</v>
      </c>
      <c r="H635">
        <v>5</v>
      </c>
      <c r="I635" t="s">
        <v>3066</v>
      </c>
      <c r="J635">
        <v>3008.6</v>
      </c>
    </row>
    <row r="636" spans="1:10" x14ac:dyDescent="0.25">
      <c r="A636" t="s">
        <v>644</v>
      </c>
      <c r="B636" t="s">
        <v>1843</v>
      </c>
      <c r="C636" t="s">
        <v>2403</v>
      </c>
      <c r="D636">
        <v>2</v>
      </c>
      <c r="E636">
        <v>259.32</v>
      </c>
      <c r="F636" t="s">
        <v>2848</v>
      </c>
      <c r="G636" t="s">
        <v>3064</v>
      </c>
      <c r="H636">
        <v>2</v>
      </c>
      <c r="I636" t="s">
        <v>3067</v>
      </c>
      <c r="J636">
        <v>518.64</v>
      </c>
    </row>
    <row r="637" spans="1:10" x14ac:dyDescent="0.25">
      <c r="A637" t="s">
        <v>645</v>
      </c>
      <c r="B637" t="s">
        <v>1844</v>
      </c>
      <c r="C637" t="s">
        <v>2402</v>
      </c>
      <c r="D637">
        <v>3</v>
      </c>
      <c r="E637">
        <v>63.68</v>
      </c>
      <c r="F637" t="s">
        <v>2454</v>
      </c>
      <c r="G637" t="s">
        <v>3065</v>
      </c>
      <c r="H637">
        <v>6</v>
      </c>
      <c r="I637" t="s">
        <v>3069</v>
      </c>
      <c r="J637">
        <v>191.04</v>
      </c>
    </row>
    <row r="638" spans="1:10" x14ac:dyDescent="0.25">
      <c r="A638" t="s">
        <v>646</v>
      </c>
      <c r="B638" t="s">
        <v>1845</v>
      </c>
      <c r="C638" t="s">
        <v>2404</v>
      </c>
      <c r="D638">
        <v>4</v>
      </c>
      <c r="E638">
        <v>371.07</v>
      </c>
      <c r="F638" t="s">
        <v>2560</v>
      </c>
      <c r="G638" t="s">
        <v>3065</v>
      </c>
      <c r="H638">
        <v>7</v>
      </c>
      <c r="I638" t="s">
        <v>3069</v>
      </c>
      <c r="J638">
        <v>1484.28</v>
      </c>
    </row>
    <row r="639" spans="1:10" x14ac:dyDescent="0.25">
      <c r="A639" t="s">
        <v>647</v>
      </c>
      <c r="B639" t="s">
        <v>1846</v>
      </c>
      <c r="C639" t="s">
        <v>2402</v>
      </c>
      <c r="D639">
        <v>4</v>
      </c>
      <c r="E639">
        <v>306.35000000000002</v>
      </c>
      <c r="F639" t="s">
        <v>2849</v>
      </c>
      <c r="G639" t="s">
        <v>3064</v>
      </c>
      <c r="H639">
        <v>7</v>
      </c>
      <c r="I639" t="s">
        <v>3067</v>
      </c>
      <c r="J639">
        <v>1225.4000000000001</v>
      </c>
    </row>
    <row r="640" spans="1:10" x14ac:dyDescent="0.25">
      <c r="A640" t="s">
        <v>648</v>
      </c>
      <c r="B640" t="s">
        <v>1847</v>
      </c>
      <c r="C640" t="s">
        <v>2401</v>
      </c>
      <c r="D640">
        <v>4</v>
      </c>
      <c r="E640">
        <v>578.27</v>
      </c>
      <c r="F640" t="s">
        <v>2850</v>
      </c>
      <c r="G640" t="s">
        <v>3062</v>
      </c>
      <c r="H640">
        <v>9</v>
      </c>
      <c r="I640" t="s">
        <v>3068</v>
      </c>
      <c r="J640">
        <v>2313.08</v>
      </c>
    </row>
    <row r="641" spans="1:10" x14ac:dyDescent="0.25">
      <c r="A641" t="s">
        <v>649</v>
      </c>
      <c r="B641" t="s">
        <v>1848</v>
      </c>
      <c r="C641" t="s">
        <v>2402</v>
      </c>
      <c r="D641">
        <v>1</v>
      </c>
      <c r="E641">
        <v>529.19000000000005</v>
      </c>
      <c r="F641" t="s">
        <v>2768</v>
      </c>
      <c r="G641" t="s">
        <v>3065</v>
      </c>
      <c r="H641">
        <v>5</v>
      </c>
      <c r="I641" t="s">
        <v>3067</v>
      </c>
      <c r="J641">
        <v>529.19000000000005</v>
      </c>
    </row>
    <row r="642" spans="1:10" x14ac:dyDescent="0.25">
      <c r="A642" t="s">
        <v>650</v>
      </c>
      <c r="B642" t="s">
        <v>1849</v>
      </c>
      <c r="C642" t="s">
        <v>2402</v>
      </c>
      <c r="D642">
        <v>2</v>
      </c>
      <c r="E642">
        <v>587.49</v>
      </c>
      <c r="F642" t="s">
        <v>2503</v>
      </c>
      <c r="G642" t="s">
        <v>3064</v>
      </c>
      <c r="H642">
        <v>6</v>
      </c>
      <c r="I642" t="s">
        <v>3067</v>
      </c>
      <c r="J642">
        <v>1174.98</v>
      </c>
    </row>
    <row r="643" spans="1:10" x14ac:dyDescent="0.25">
      <c r="A643" t="s">
        <v>651</v>
      </c>
      <c r="B643" t="s">
        <v>1850</v>
      </c>
      <c r="C643" t="s">
        <v>2403</v>
      </c>
      <c r="D643">
        <v>4</v>
      </c>
      <c r="E643">
        <v>567.57000000000005</v>
      </c>
      <c r="F643" t="s">
        <v>2623</v>
      </c>
      <c r="G643" t="s">
        <v>3061</v>
      </c>
      <c r="H643">
        <v>9</v>
      </c>
      <c r="I643" t="s">
        <v>3070</v>
      </c>
      <c r="J643">
        <v>2270.2800000000002</v>
      </c>
    </row>
    <row r="644" spans="1:10" x14ac:dyDescent="0.25">
      <c r="A644" t="s">
        <v>652</v>
      </c>
      <c r="B644" t="s">
        <v>1851</v>
      </c>
      <c r="C644" t="s">
        <v>2402</v>
      </c>
      <c r="D644">
        <v>5</v>
      </c>
      <c r="E644">
        <v>85.22</v>
      </c>
      <c r="F644" t="s">
        <v>2851</v>
      </c>
      <c r="G644" t="s">
        <v>3063</v>
      </c>
      <c r="H644">
        <v>7</v>
      </c>
      <c r="I644" t="s">
        <v>3068</v>
      </c>
      <c r="J644">
        <v>426.1</v>
      </c>
    </row>
    <row r="645" spans="1:10" x14ac:dyDescent="0.25">
      <c r="A645" t="s">
        <v>653</v>
      </c>
      <c r="B645" t="s">
        <v>1852</v>
      </c>
      <c r="C645" t="s">
        <v>2404</v>
      </c>
      <c r="D645">
        <v>1</v>
      </c>
      <c r="E645">
        <v>438.37</v>
      </c>
      <c r="F645" t="s">
        <v>2503</v>
      </c>
      <c r="G645" t="s">
        <v>3065</v>
      </c>
      <c r="H645">
        <v>4</v>
      </c>
      <c r="I645" t="s">
        <v>3067</v>
      </c>
      <c r="J645">
        <v>438.37</v>
      </c>
    </row>
    <row r="646" spans="1:10" x14ac:dyDescent="0.25">
      <c r="A646" t="s">
        <v>654</v>
      </c>
      <c r="B646" t="s">
        <v>1853</v>
      </c>
      <c r="C646" t="s">
        <v>2402</v>
      </c>
      <c r="D646">
        <v>2</v>
      </c>
      <c r="E646">
        <v>366.23</v>
      </c>
      <c r="F646" t="s">
        <v>2852</v>
      </c>
      <c r="G646" t="s">
        <v>3065</v>
      </c>
      <c r="H646">
        <v>2</v>
      </c>
      <c r="I646" t="s">
        <v>3068</v>
      </c>
      <c r="J646">
        <v>732.46</v>
      </c>
    </row>
    <row r="647" spans="1:10" x14ac:dyDescent="0.25">
      <c r="A647" t="s">
        <v>655</v>
      </c>
      <c r="B647" t="s">
        <v>1854</v>
      </c>
      <c r="C647" t="s">
        <v>2404</v>
      </c>
      <c r="D647">
        <v>2</v>
      </c>
      <c r="E647">
        <v>150.05000000000001</v>
      </c>
      <c r="F647" t="s">
        <v>2521</v>
      </c>
      <c r="G647" t="s">
        <v>3063</v>
      </c>
      <c r="H647">
        <v>4</v>
      </c>
      <c r="I647" t="s">
        <v>3069</v>
      </c>
      <c r="J647">
        <v>300.10000000000002</v>
      </c>
    </row>
    <row r="648" spans="1:10" x14ac:dyDescent="0.25">
      <c r="A648" t="s">
        <v>656</v>
      </c>
      <c r="B648" t="s">
        <v>1855</v>
      </c>
      <c r="C648" t="s">
        <v>2402</v>
      </c>
      <c r="D648">
        <v>4</v>
      </c>
      <c r="E648">
        <v>498.51</v>
      </c>
      <c r="F648" t="s">
        <v>2853</v>
      </c>
      <c r="G648" t="s">
        <v>3061</v>
      </c>
      <c r="H648">
        <v>4</v>
      </c>
      <c r="I648" t="s">
        <v>3070</v>
      </c>
      <c r="J648">
        <v>1994.04</v>
      </c>
    </row>
    <row r="649" spans="1:10" x14ac:dyDescent="0.25">
      <c r="A649" t="s">
        <v>657</v>
      </c>
      <c r="B649" t="s">
        <v>1856</v>
      </c>
      <c r="C649" t="s">
        <v>2405</v>
      </c>
      <c r="D649">
        <v>3</v>
      </c>
      <c r="E649">
        <v>339.39</v>
      </c>
      <c r="F649" t="s">
        <v>2554</v>
      </c>
      <c r="G649" t="s">
        <v>3065</v>
      </c>
      <c r="H649">
        <v>7</v>
      </c>
      <c r="I649" t="s">
        <v>3070</v>
      </c>
      <c r="J649">
        <v>1018.17</v>
      </c>
    </row>
    <row r="650" spans="1:10" x14ac:dyDescent="0.25">
      <c r="A650" t="s">
        <v>658</v>
      </c>
      <c r="B650" t="s">
        <v>1857</v>
      </c>
      <c r="C650" t="s">
        <v>2399</v>
      </c>
      <c r="D650">
        <v>2</v>
      </c>
      <c r="E650">
        <v>575.83000000000004</v>
      </c>
      <c r="F650" t="s">
        <v>2854</v>
      </c>
      <c r="G650" t="s">
        <v>3062</v>
      </c>
      <c r="H650">
        <v>3</v>
      </c>
      <c r="I650" t="s">
        <v>3067</v>
      </c>
      <c r="J650">
        <v>1151.6600000000001</v>
      </c>
    </row>
    <row r="651" spans="1:10" x14ac:dyDescent="0.25">
      <c r="A651" t="s">
        <v>659</v>
      </c>
      <c r="B651" t="s">
        <v>1858</v>
      </c>
      <c r="C651" t="s">
        <v>2399</v>
      </c>
      <c r="D651">
        <v>2</v>
      </c>
      <c r="E651">
        <v>642.98</v>
      </c>
      <c r="F651" t="s">
        <v>2628</v>
      </c>
      <c r="G651" t="s">
        <v>3061</v>
      </c>
      <c r="H651">
        <v>7</v>
      </c>
      <c r="I651" t="s">
        <v>3068</v>
      </c>
      <c r="J651">
        <v>1285.96</v>
      </c>
    </row>
    <row r="652" spans="1:10" x14ac:dyDescent="0.25">
      <c r="A652" t="s">
        <v>660</v>
      </c>
      <c r="B652" t="s">
        <v>1859</v>
      </c>
      <c r="C652" t="s">
        <v>2405</v>
      </c>
      <c r="D652">
        <v>2</v>
      </c>
      <c r="E652">
        <v>372.23</v>
      </c>
      <c r="F652" t="s">
        <v>2855</v>
      </c>
      <c r="G652" t="s">
        <v>3064</v>
      </c>
      <c r="H652">
        <v>7</v>
      </c>
      <c r="I652" t="s">
        <v>3068</v>
      </c>
      <c r="J652">
        <v>744.46</v>
      </c>
    </row>
    <row r="653" spans="1:10" x14ac:dyDescent="0.25">
      <c r="A653" t="s">
        <v>661</v>
      </c>
      <c r="B653" t="s">
        <v>1860</v>
      </c>
      <c r="C653" t="s">
        <v>2402</v>
      </c>
      <c r="D653">
        <v>3</v>
      </c>
      <c r="E653">
        <v>646.34</v>
      </c>
      <c r="F653" t="s">
        <v>2580</v>
      </c>
      <c r="G653" t="s">
        <v>3061</v>
      </c>
      <c r="H653">
        <v>5</v>
      </c>
      <c r="I653" t="s">
        <v>3070</v>
      </c>
      <c r="J653">
        <v>1939.02</v>
      </c>
    </row>
    <row r="654" spans="1:10" x14ac:dyDescent="0.25">
      <c r="A654" t="s">
        <v>662</v>
      </c>
      <c r="B654" t="s">
        <v>1861</v>
      </c>
      <c r="C654" t="s">
        <v>2402</v>
      </c>
      <c r="D654">
        <v>5</v>
      </c>
      <c r="E654">
        <v>341.84</v>
      </c>
      <c r="F654" t="s">
        <v>2856</v>
      </c>
      <c r="G654" t="s">
        <v>3062</v>
      </c>
      <c r="H654">
        <v>8</v>
      </c>
      <c r="I654" t="s">
        <v>3066</v>
      </c>
      <c r="J654">
        <v>1709.2</v>
      </c>
    </row>
    <row r="655" spans="1:10" x14ac:dyDescent="0.25">
      <c r="A655" t="s">
        <v>663</v>
      </c>
      <c r="B655" t="s">
        <v>1862</v>
      </c>
      <c r="C655" t="s">
        <v>2403</v>
      </c>
      <c r="D655">
        <v>3</v>
      </c>
      <c r="E655">
        <v>690.3</v>
      </c>
      <c r="F655" t="s">
        <v>2706</v>
      </c>
      <c r="G655" t="s">
        <v>3063</v>
      </c>
      <c r="H655">
        <v>6</v>
      </c>
      <c r="I655" t="s">
        <v>3070</v>
      </c>
      <c r="J655">
        <v>2070.9</v>
      </c>
    </row>
    <row r="656" spans="1:10" x14ac:dyDescent="0.25">
      <c r="A656" t="s">
        <v>664</v>
      </c>
      <c r="B656" t="s">
        <v>1863</v>
      </c>
      <c r="C656" t="s">
        <v>2401</v>
      </c>
      <c r="D656">
        <v>3</v>
      </c>
      <c r="E656">
        <v>382.37</v>
      </c>
      <c r="F656" t="s">
        <v>2857</v>
      </c>
      <c r="G656" t="s">
        <v>3061</v>
      </c>
      <c r="H656">
        <v>8</v>
      </c>
      <c r="I656" t="s">
        <v>3066</v>
      </c>
      <c r="J656">
        <v>1147.1099999999999</v>
      </c>
    </row>
    <row r="657" spans="1:10" x14ac:dyDescent="0.25">
      <c r="A657" t="s">
        <v>665</v>
      </c>
      <c r="B657" t="s">
        <v>1864</v>
      </c>
      <c r="C657" t="s">
        <v>2402</v>
      </c>
      <c r="D657">
        <v>2</v>
      </c>
      <c r="E657">
        <v>132.6</v>
      </c>
      <c r="F657" t="s">
        <v>2754</v>
      </c>
      <c r="G657" t="s">
        <v>3061</v>
      </c>
      <c r="H657">
        <v>4</v>
      </c>
      <c r="I657" t="s">
        <v>3068</v>
      </c>
      <c r="J657">
        <v>265.2</v>
      </c>
    </row>
    <row r="658" spans="1:10" x14ac:dyDescent="0.25">
      <c r="A658" t="s">
        <v>666</v>
      </c>
      <c r="B658" t="s">
        <v>1865</v>
      </c>
      <c r="C658" t="s">
        <v>2399</v>
      </c>
      <c r="D658">
        <v>2</v>
      </c>
      <c r="E658">
        <v>189.06</v>
      </c>
      <c r="F658" t="s">
        <v>2858</v>
      </c>
      <c r="G658" t="s">
        <v>3064</v>
      </c>
      <c r="H658">
        <v>7</v>
      </c>
      <c r="I658" t="s">
        <v>3069</v>
      </c>
      <c r="J658">
        <v>378.12</v>
      </c>
    </row>
    <row r="659" spans="1:10" x14ac:dyDescent="0.25">
      <c r="A659" t="s">
        <v>667</v>
      </c>
      <c r="B659" t="s">
        <v>1866</v>
      </c>
      <c r="C659" t="s">
        <v>2401</v>
      </c>
      <c r="D659">
        <v>4</v>
      </c>
      <c r="E659">
        <v>87.79</v>
      </c>
      <c r="F659" t="s">
        <v>2681</v>
      </c>
      <c r="G659" t="s">
        <v>3065</v>
      </c>
      <c r="H659">
        <v>6</v>
      </c>
      <c r="I659" t="s">
        <v>3066</v>
      </c>
      <c r="J659">
        <v>351.16</v>
      </c>
    </row>
    <row r="660" spans="1:10" x14ac:dyDescent="0.25">
      <c r="A660" t="s">
        <v>668</v>
      </c>
      <c r="B660" t="s">
        <v>1867</v>
      </c>
      <c r="C660" t="s">
        <v>2403</v>
      </c>
      <c r="D660">
        <v>2</v>
      </c>
      <c r="E660">
        <v>46.36</v>
      </c>
      <c r="F660" t="s">
        <v>2653</v>
      </c>
      <c r="G660" t="s">
        <v>3064</v>
      </c>
      <c r="H660">
        <v>4</v>
      </c>
      <c r="I660" t="s">
        <v>3070</v>
      </c>
      <c r="J660">
        <v>92.72</v>
      </c>
    </row>
    <row r="661" spans="1:10" x14ac:dyDescent="0.25">
      <c r="A661" t="s">
        <v>669</v>
      </c>
      <c r="B661" t="s">
        <v>1868</v>
      </c>
      <c r="C661" t="s">
        <v>2400</v>
      </c>
      <c r="D661">
        <v>2</v>
      </c>
      <c r="E661">
        <v>642.04</v>
      </c>
      <c r="F661" t="s">
        <v>2809</v>
      </c>
      <c r="G661" t="s">
        <v>3064</v>
      </c>
      <c r="H661">
        <v>4</v>
      </c>
      <c r="I661" t="s">
        <v>3068</v>
      </c>
      <c r="J661">
        <v>1284.08</v>
      </c>
    </row>
    <row r="662" spans="1:10" x14ac:dyDescent="0.25">
      <c r="A662" t="s">
        <v>670</v>
      </c>
      <c r="B662" t="s">
        <v>1869</v>
      </c>
      <c r="C662" t="s">
        <v>2402</v>
      </c>
      <c r="D662">
        <v>2</v>
      </c>
      <c r="E662">
        <v>651.57000000000005</v>
      </c>
      <c r="F662" t="s">
        <v>2539</v>
      </c>
      <c r="G662" t="s">
        <v>3061</v>
      </c>
      <c r="H662">
        <v>7</v>
      </c>
      <c r="I662" t="s">
        <v>3069</v>
      </c>
      <c r="J662">
        <v>1303.1400000000001</v>
      </c>
    </row>
    <row r="663" spans="1:10" x14ac:dyDescent="0.25">
      <c r="A663" t="s">
        <v>671</v>
      </c>
      <c r="B663" t="s">
        <v>1870</v>
      </c>
      <c r="C663" t="s">
        <v>2401</v>
      </c>
      <c r="D663">
        <v>3</v>
      </c>
      <c r="E663">
        <v>424.89</v>
      </c>
      <c r="F663" t="s">
        <v>2859</v>
      </c>
      <c r="G663" t="s">
        <v>3061</v>
      </c>
      <c r="H663">
        <v>6</v>
      </c>
      <c r="I663" t="s">
        <v>3070</v>
      </c>
      <c r="J663">
        <v>1274.67</v>
      </c>
    </row>
    <row r="664" spans="1:10" x14ac:dyDescent="0.25">
      <c r="A664" t="s">
        <v>672</v>
      </c>
      <c r="B664" t="s">
        <v>1871</v>
      </c>
      <c r="C664" t="s">
        <v>2404</v>
      </c>
      <c r="D664">
        <v>3</v>
      </c>
      <c r="E664">
        <v>438.89</v>
      </c>
      <c r="F664" t="s">
        <v>2860</v>
      </c>
      <c r="G664" t="s">
        <v>3065</v>
      </c>
      <c r="H664">
        <v>3</v>
      </c>
      <c r="I664" t="s">
        <v>3069</v>
      </c>
      <c r="J664">
        <v>1316.67</v>
      </c>
    </row>
    <row r="665" spans="1:10" x14ac:dyDescent="0.25">
      <c r="A665" t="s">
        <v>673</v>
      </c>
      <c r="B665" t="s">
        <v>1872</v>
      </c>
      <c r="C665" t="s">
        <v>2399</v>
      </c>
      <c r="D665">
        <v>1</v>
      </c>
      <c r="E665">
        <v>72.599999999999994</v>
      </c>
      <c r="F665" t="s">
        <v>2796</v>
      </c>
      <c r="G665" t="s">
        <v>3061</v>
      </c>
      <c r="H665">
        <v>6</v>
      </c>
      <c r="I665" t="s">
        <v>3066</v>
      </c>
      <c r="J665">
        <v>72.599999999999994</v>
      </c>
    </row>
    <row r="666" spans="1:10" x14ac:dyDescent="0.25">
      <c r="A666" t="s">
        <v>674</v>
      </c>
      <c r="B666" t="s">
        <v>1446</v>
      </c>
      <c r="C666" t="s">
        <v>2404</v>
      </c>
      <c r="D666">
        <v>4</v>
      </c>
      <c r="E666">
        <v>194.75</v>
      </c>
      <c r="F666" t="s">
        <v>2861</v>
      </c>
      <c r="G666" t="s">
        <v>3065</v>
      </c>
      <c r="H666">
        <v>5</v>
      </c>
      <c r="I666" t="s">
        <v>3069</v>
      </c>
      <c r="J666">
        <v>779</v>
      </c>
    </row>
    <row r="667" spans="1:10" x14ac:dyDescent="0.25">
      <c r="A667" t="s">
        <v>675</v>
      </c>
      <c r="B667" t="s">
        <v>1873</v>
      </c>
      <c r="C667" t="s">
        <v>2401</v>
      </c>
      <c r="D667">
        <v>4</v>
      </c>
      <c r="E667">
        <v>231.26</v>
      </c>
      <c r="F667" t="s">
        <v>2862</v>
      </c>
      <c r="G667" t="s">
        <v>3062</v>
      </c>
      <c r="H667">
        <v>6</v>
      </c>
      <c r="I667" t="s">
        <v>3070</v>
      </c>
      <c r="J667">
        <v>925.04</v>
      </c>
    </row>
    <row r="668" spans="1:10" x14ac:dyDescent="0.25">
      <c r="A668" t="s">
        <v>676</v>
      </c>
      <c r="B668" t="s">
        <v>1874</v>
      </c>
      <c r="C668" t="s">
        <v>2399</v>
      </c>
      <c r="D668">
        <v>4</v>
      </c>
      <c r="E668">
        <v>327.12</v>
      </c>
      <c r="F668" t="s">
        <v>2836</v>
      </c>
      <c r="G668" t="s">
        <v>3063</v>
      </c>
      <c r="H668">
        <v>4</v>
      </c>
      <c r="I668" t="s">
        <v>3068</v>
      </c>
      <c r="J668">
        <v>1308.48</v>
      </c>
    </row>
    <row r="669" spans="1:10" x14ac:dyDescent="0.25">
      <c r="A669" t="s">
        <v>677</v>
      </c>
      <c r="B669" t="s">
        <v>1875</v>
      </c>
      <c r="C669" t="s">
        <v>2404</v>
      </c>
      <c r="D669">
        <v>1</v>
      </c>
      <c r="E669">
        <v>466.42</v>
      </c>
      <c r="F669" t="s">
        <v>2586</v>
      </c>
      <c r="G669" t="s">
        <v>3064</v>
      </c>
      <c r="H669">
        <v>5</v>
      </c>
      <c r="I669" t="s">
        <v>3068</v>
      </c>
      <c r="J669">
        <v>466.42</v>
      </c>
    </row>
    <row r="670" spans="1:10" x14ac:dyDescent="0.25">
      <c r="A670" t="s">
        <v>678</v>
      </c>
      <c r="B670" t="s">
        <v>1876</v>
      </c>
      <c r="C670" t="s">
        <v>2399</v>
      </c>
      <c r="D670">
        <v>2</v>
      </c>
      <c r="E670">
        <v>253.67</v>
      </c>
      <c r="F670" t="s">
        <v>2545</v>
      </c>
      <c r="G670" t="s">
        <v>3065</v>
      </c>
      <c r="H670">
        <v>3</v>
      </c>
      <c r="I670" t="s">
        <v>3069</v>
      </c>
      <c r="J670">
        <v>507.34</v>
      </c>
    </row>
    <row r="671" spans="1:10" x14ac:dyDescent="0.25">
      <c r="A671" t="s">
        <v>679</v>
      </c>
      <c r="B671" t="s">
        <v>1877</v>
      </c>
      <c r="C671" t="s">
        <v>2405</v>
      </c>
      <c r="D671">
        <v>1</v>
      </c>
      <c r="E671">
        <v>257</v>
      </c>
      <c r="F671" t="s">
        <v>2863</v>
      </c>
      <c r="G671" t="s">
        <v>3061</v>
      </c>
      <c r="H671">
        <v>5</v>
      </c>
      <c r="I671" t="s">
        <v>3067</v>
      </c>
      <c r="J671">
        <v>257</v>
      </c>
    </row>
    <row r="672" spans="1:10" x14ac:dyDescent="0.25">
      <c r="A672" t="s">
        <v>680</v>
      </c>
      <c r="B672" t="s">
        <v>1878</v>
      </c>
      <c r="C672" t="s">
        <v>2405</v>
      </c>
      <c r="D672">
        <v>4</v>
      </c>
      <c r="E672">
        <v>539.20000000000005</v>
      </c>
      <c r="F672" t="s">
        <v>2706</v>
      </c>
      <c r="G672" t="s">
        <v>3063</v>
      </c>
      <c r="H672">
        <v>8</v>
      </c>
      <c r="I672" t="s">
        <v>3070</v>
      </c>
      <c r="J672">
        <v>2156.8000000000002</v>
      </c>
    </row>
    <row r="673" spans="1:10" x14ac:dyDescent="0.25">
      <c r="A673" t="s">
        <v>681</v>
      </c>
      <c r="B673" t="s">
        <v>1879</v>
      </c>
      <c r="C673" t="s">
        <v>2402</v>
      </c>
      <c r="D673">
        <v>5</v>
      </c>
      <c r="E673">
        <v>50.74</v>
      </c>
      <c r="F673" t="s">
        <v>2550</v>
      </c>
      <c r="G673" t="s">
        <v>3064</v>
      </c>
      <c r="H673">
        <v>7</v>
      </c>
      <c r="I673" t="s">
        <v>3070</v>
      </c>
      <c r="J673">
        <v>253.7</v>
      </c>
    </row>
    <row r="674" spans="1:10" x14ac:dyDescent="0.25">
      <c r="A674" t="s">
        <v>682</v>
      </c>
      <c r="B674" t="s">
        <v>1880</v>
      </c>
      <c r="C674" t="s">
        <v>2400</v>
      </c>
      <c r="D674">
        <v>2</v>
      </c>
      <c r="E674">
        <v>624.16</v>
      </c>
      <c r="F674" t="s">
        <v>2839</v>
      </c>
      <c r="G674" t="s">
        <v>3061</v>
      </c>
      <c r="H674">
        <v>2</v>
      </c>
      <c r="I674" t="s">
        <v>3066</v>
      </c>
      <c r="J674">
        <v>1248.32</v>
      </c>
    </row>
    <row r="675" spans="1:10" x14ac:dyDescent="0.25">
      <c r="A675" t="s">
        <v>683</v>
      </c>
      <c r="B675" t="s">
        <v>1881</v>
      </c>
      <c r="C675" t="s">
        <v>2401</v>
      </c>
      <c r="D675">
        <v>2</v>
      </c>
      <c r="E675">
        <v>372.92</v>
      </c>
      <c r="F675" t="s">
        <v>2508</v>
      </c>
      <c r="G675" t="s">
        <v>3063</v>
      </c>
      <c r="H675">
        <v>7</v>
      </c>
      <c r="I675" t="s">
        <v>3068</v>
      </c>
      <c r="J675">
        <v>745.84</v>
      </c>
    </row>
    <row r="676" spans="1:10" x14ac:dyDescent="0.25">
      <c r="A676" t="s">
        <v>684</v>
      </c>
      <c r="B676" t="s">
        <v>1882</v>
      </c>
      <c r="C676" t="s">
        <v>2404</v>
      </c>
      <c r="D676">
        <v>4</v>
      </c>
      <c r="E676">
        <v>358.75</v>
      </c>
      <c r="F676" t="s">
        <v>2864</v>
      </c>
      <c r="G676" t="s">
        <v>3064</v>
      </c>
      <c r="H676">
        <v>9</v>
      </c>
      <c r="I676" t="s">
        <v>3069</v>
      </c>
      <c r="J676">
        <v>1435</v>
      </c>
    </row>
    <row r="677" spans="1:10" x14ac:dyDescent="0.25">
      <c r="A677" t="s">
        <v>685</v>
      </c>
      <c r="B677" t="s">
        <v>1883</v>
      </c>
      <c r="C677" t="s">
        <v>2405</v>
      </c>
      <c r="D677">
        <v>3</v>
      </c>
      <c r="E677">
        <v>342.02</v>
      </c>
      <c r="F677" t="s">
        <v>2803</v>
      </c>
      <c r="G677" t="s">
        <v>3061</v>
      </c>
      <c r="H677">
        <v>5</v>
      </c>
      <c r="I677" t="s">
        <v>3068</v>
      </c>
      <c r="J677">
        <v>1026.06</v>
      </c>
    </row>
    <row r="678" spans="1:10" x14ac:dyDescent="0.25">
      <c r="A678" t="s">
        <v>686</v>
      </c>
      <c r="B678" t="s">
        <v>1884</v>
      </c>
      <c r="C678" t="s">
        <v>2404</v>
      </c>
      <c r="D678">
        <v>2</v>
      </c>
      <c r="E678">
        <v>422.34</v>
      </c>
      <c r="F678" t="s">
        <v>2860</v>
      </c>
      <c r="G678" t="s">
        <v>3063</v>
      </c>
      <c r="H678">
        <v>4</v>
      </c>
      <c r="I678" t="s">
        <v>3066</v>
      </c>
      <c r="J678">
        <v>844.68</v>
      </c>
    </row>
    <row r="679" spans="1:10" x14ac:dyDescent="0.25">
      <c r="A679" t="s">
        <v>687</v>
      </c>
      <c r="B679" t="s">
        <v>1885</v>
      </c>
      <c r="C679" t="s">
        <v>2401</v>
      </c>
      <c r="D679">
        <v>5</v>
      </c>
      <c r="E679">
        <v>22.07</v>
      </c>
      <c r="F679" t="s">
        <v>2418</v>
      </c>
      <c r="G679" t="s">
        <v>3062</v>
      </c>
      <c r="H679">
        <v>7</v>
      </c>
      <c r="I679" t="s">
        <v>3066</v>
      </c>
      <c r="J679">
        <v>110.35</v>
      </c>
    </row>
    <row r="680" spans="1:10" x14ac:dyDescent="0.25">
      <c r="A680" t="s">
        <v>688</v>
      </c>
      <c r="B680" t="s">
        <v>1886</v>
      </c>
      <c r="C680" t="s">
        <v>2402</v>
      </c>
      <c r="D680">
        <v>3</v>
      </c>
      <c r="E680">
        <v>163.13</v>
      </c>
      <c r="F680" t="s">
        <v>2596</v>
      </c>
      <c r="G680" t="s">
        <v>3064</v>
      </c>
      <c r="H680">
        <v>5</v>
      </c>
      <c r="I680" t="s">
        <v>3069</v>
      </c>
      <c r="J680">
        <v>489.39</v>
      </c>
    </row>
    <row r="681" spans="1:10" x14ac:dyDescent="0.25">
      <c r="A681" t="s">
        <v>689</v>
      </c>
      <c r="B681" t="s">
        <v>1887</v>
      </c>
      <c r="C681" t="s">
        <v>2401</v>
      </c>
      <c r="D681">
        <v>3</v>
      </c>
      <c r="E681">
        <v>360.66</v>
      </c>
      <c r="F681" t="s">
        <v>2729</v>
      </c>
      <c r="G681" t="s">
        <v>3062</v>
      </c>
      <c r="H681">
        <v>5</v>
      </c>
      <c r="I681" t="s">
        <v>3066</v>
      </c>
      <c r="J681">
        <v>1081.98</v>
      </c>
    </row>
    <row r="682" spans="1:10" x14ac:dyDescent="0.25">
      <c r="A682" t="s">
        <v>690</v>
      </c>
      <c r="B682" t="s">
        <v>1888</v>
      </c>
      <c r="C682" t="s">
        <v>2399</v>
      </c>
      <c r="D682">
        <v>3</v>
      </c>
      <c r="E682">
        <v>463.39</v>
      </c>
      <c r="F682" t="s">
        <v>2865</v>
      </c>
      <c r="G682" t="s">
        <v>3063</v>
      </c>
      <c r="H682">
        <v>3</v>
      </c>
      <c r="I682" t="s">
        <v>3069</v>
      </c>
      <c r="J682">
        <v>1390.17</v>
      </c>
    </row>
    <row r="683" spans="1:10" x14ac:dyDescent="0.25">
      <c r="A683" t="s">
        <v>691</v>
      </c>
      <c r="B683" t="s">
        <v>1889</v>
      </c>
      <c r="C683" t="s">
        <v>2401</v>
      </c>
      <c r="D683">
        <v>1</v>
      </c>
      <c r="E683">
        <v>155.27000000000001</v>
      </c>
      <c r="F683" t="s">
        <v>2866</v>
      </c>
      <c r="G683" t="s">
        <v>3061</v>
      </c>
      <c r="H683">
        <v>6</v>
      </c>
      <c r="I683" t="s">
        <v>3068</v>
      </c>
      <c r="J683">
        <v>155.27000000000001</v>
      </c>
    </row>
    <row r="684" spans="1:10" x14ac:dyDescent="0.25">
      <c r="A684" t="s">
        <v>692</v>
      </c>
      <c r="B684" t="s">
        <v>1890</v>
      </c>
      <c r="C684" t="s">
        <v>2399</v>
      </c>
      <c r="D684">
        <v>3</v>
      </c>
      <c r="E684">
        <v>509.42</v>
      </c>
      <c r="F684" t="s">
        <v>2773</v>
      </c>
      <c r="G684" t="s">
        <v>3063</v>
      </c>
      <c r="H684">
        <v>5</v>
      </c>
      <c r="I684" t="s">
        <v>3070</v>
      </c>
      <c r="J684">
        <v>1528.26</v>
      </c>
    </row>
    <row r="685" spans="1:10" x14ac:dyDescent="0.25">
      <c r="A685" t="s">
        <v>693</v>
      </c>
      <c r="B685" t="s">
        <v>1891</v>
      </c>
      <c r="C685" t="s">
        <v>2405</v>
      </c>
      <c r="D685">
        <v>4</v>
      </c>
      <c r="E685">
        <v>652.48</v>
      </c>
      <c r="F685" t="s">
        <v>2867</v>
      </c>
      <c r="G685" t="s">
        <v>3065</v>
      </c>
      <c r="H685">
        <v>5</v>
      </c>
      <c r="I685" t="s">
        <v>3066</v>
      </c>
      <c r="J685">
        <v>2609.92</v>
      </c>
    </row>
    <row r="686" spans="1:10" x14ac:dyDescent="0.25">
      <c r="A686" t="s">
        <v>694</v>
      </c>
      <c r="B686" t="s">
        <v>1892</v>
      </c>
      <c r="C686" t="s">
        <v>2403</v>
      </c>
      <c r="D686">
        <v>4</v>
      </c>
      <c r="E686">
        <v>34.840000000000003</v>
      </c>
      <c r="F686" t="s">
        <v>2868</v>
      </c>
      <c r="G686" t="s">
        <v>3063</v>
      </c>
      <c r="H686">
        <v>8</v>
      </c>
      <c r="I686" t="s">
        <v>3068</v>
      </c>
      <c r="J686">
        <v>139.36000000000001</v>
      </c>
    </row>
    <row r="687" spans="1:10" x14ac:dyDescent="0.25">
      <c r="A687" t="s">
        <v>695</v>
      </c>
      <c r="B687" t="s">
        <v>1893</v>
      </c>
      <c r="C687" t="s">
        <v>2405</v>
      </c>
      <c r="D687">
        <v>1</v>
      </c>
      <c r="E687">
        <v>234.37</v>
      </c>
      <c r="F687" t="s">
        <v>2869</v>
      </c>
      <c r="G687" t="s">
        <v>3061</v>
      </c>
      <c r="H687">
        <v>5</v>
      </c>
      <c r="I687" t="s">
        <v>3068</v>
      </c>
      <c r="J687">
        <v>234.37</v>
      </c>
    </row>
    <row r="688" spans="1:10" x14ac:dyDescent="0.25">
      <c r="A688" t="s">
        <v>696</v>
      </c>
      <c r="B688" t="s">
        <v>1894</v>
      </c>
      <c r="C688" t="s">
        <v>2405</v>
      </c>
      <c r="D688">
        <v>3</v>
      </c>
      <c r="E688">
        <v>53.6</v>
      </c>
      <c r="F688" t="s">
        <v>2870</v>
      </c>
      <c r="G688" t="s">
        <v>3065</v>
      </c>
      <c r="H688">
        <v>4</v>
      </c>
      <c r="I688" t="s">
        <v>3069</v>
      </c>
      <c r="J688">
        <v>160.80000000000001</v>
      </c>
    </row>
    <row r="689" spans="1:10" x14ac:dyDescent="0.25">
      <c r="A689" t="s">
        <v>697</v>
      </c>
      <c r="B689" t="s">
        <v>1895</v>
      </c>
      <c r="C689" t="s">
        <v>2401</v>
      </c>
      <c r="D689">
        <v>1</v>
      </c>
      <c r="E689">
        <v>332.09</v>
      </c>
      <c r="F689" t="s">
        <v>2871</v>
      </c>
      <c r="G689" t="s">
        <v>3064</v>
      </c>
      <c r="H689">
        <v>5</v>
      </c>
      <c r="I689" t="s">
        <v>3066</v>
      </c>
      <c r="J689">
        <v>332.09</v>
      </c>
    </row>
    <row r="690" spans="1:10" x14ac:dyDescent="0.25">
      <c r="A690" t="s">
        <v>698</v>
      </c>
      <c r="B690" t="s">
        <v>1896</v>
      </c>
      <c r="C690" t="s">
        <v>2399</v>
      </c>
      <c r="D690">
        <v>4</v>
      </c>
      <c r="E690">
        <v>593.22</v>
      </c>
      <c r="F690" t="s">
        <v>2838</v>
      </c>
      <c r="G690" t="s">
        <v>3063</v>
      </c>
      <c r="H690">
        <v>8</v>
      </c>
      <c r="I690" t="s">
        <v>3069</v>
      </c>
      <c r="J690">
        <v>2372.88</v>
      </c>
    </row>
    <row r="691" spans="1:10" x14ac:dyDescent="0.25">
      <c r="A691" t="s">
        <v>699</v>
      </c>
      <c r="B691" t="s">
        <v>1897</v>
      </c>
      <c r="C691" t="s">
        <v>2401</v>
      </c>
      <c r="D691">
        <v>2</v>
      </c>
      <c r="E691">
        <v>444.84</v>
      </c>
      <c r="F691" t="s">
        <v>2872</v>
      </c>
      <c r="G691" t="s">
        <v>3062</v>
      </c>
      <c r="H691">
        <v>7</v>
      </c>
      <c r="I691" t="s">
        <v>3069</v>
      </c>
      <c r="J691">
        <v>889.68</v>
      </c>
    </row>
    <row r="692" spans="1:10" x14ac:dyDescent="0.25">
      <c r="A692" t="s">
        <v>700</v>
      </c>
      <c r="B692" t="s">
        <v>1898</v>
      </c>
      <c r="C692" t="s">
        <v>2399</v>
      </c>
      <c r="D692">
        <v>1</v>
      </c>
      <c r="E692">
        <v>24.48</v>
      </c>
      <c r="F692" t="s">
        <v>2441</v>
      </c>
      <c r="G692" t="s">
        <v>3064</v>
      </c>
      <c r="H692">
        <v>1</v>
      </c>
      <c r="I692" t="s">
        <v>3066</v>
      </c>
      <c r="J692">
        <v>24.48</v>
      </c>
    </row>
    <row r="693" spans="1:10" x14ac:dyDescent="0.25">
      <c r="A693" t="s">
        <v>701</v>
      </c>
      <c r="B693" t="s">
        <v>1899</v>
      </c>
      <c r="C693" t="s">
        <v>2404</v>
      </c>
      <c r="D693">
        <v>3</v>
      </c>
      <c r="E693">
        <v>239.08</v>
      </c>
      <c r="F693" t="s">
        <v>2873</v>
      </c>
      <c r="G693" t="s">
        <v>3065</v>
      </c>
      <c r="H693">
        <v>8</v>
      </c>
      <c r="I693" t="s">
        <v>3070</v>
      </c>
      <c r="J693">
        <v>717.24</v>
      </c>
    </row>
    <row r="694" spans="1:10" x14ac:dyDescent="0.25">
      <c r="A694" t="s">
        <v>702</v>
      </c>
      <c r="B694" t="s">
        <v>1900</v>
      </c>
      <c r="C694" t="s">
        <v>2405</v>
      </c>
      <c r="D694">
        <v>5</v>
      </c>
      <c r="E694">
        <v>196.84</v>
      </c>
      <c r="F694" t="s">
        <v>2728</v>
      </c>
      <c r="G694" t="s">
        <v>3063</v>
      </c>
      <c r="H694">
        <v>5</v>
      </c>
      <c r="I694" t="s">
        <v>3066</v>
      </c>
      <c r="J694">
        <v>984.2</v>
      </c>
    </row>
    <row r="695" spans="1:10" x14ac:dyDescent="0.25">
      <c r="A695" t="s">
        <v>703</v>
      </c>
      <c r="B695" t="s">
        <v>1901</v>
      </c>
      <c r="C695" t="s">
        <v>2399</v>
      </c>
      <c r="D695">
        <v>1</v>
      </c>
      <c r="E695">
        <v>176.58</v>
      </c>
      <c r="F695" t="s">
        <v>2874</v>
      </c>
      <c r="G695" t="s">
        <v>3061</v>
      </c>
      <c r="H695">
        <v>4</v>
      </c>
      <c r="I695" t="s">
        <v>3067</v>
      </c>
      <c r="J695">
        <v>176.58</v>
      </c>
    </row>
    <row r="696" spans="1:10" x14ac:dyDescent="0.25">
      <c r="A696" t="s">
        <v>704</v>
      </c>
      <c r="B696" t="s">
        <v>1902</v>
      </c>
      <c r="C696" t="s">
        <v>2403</v>
      </c>
      <c r="D696">
        <v>4</v>
      </c>
      <c r="E696">
        <v>666.52</v>
      </c>
      <c r="F696" t="s">
        <v>2691</v>
      </c>
      <c r="G696" t="s">
        <v>3065</v>
      </c>
      <c r="H696">
        <v>8</v>
      </c>
      <c r="I696" t="s">
        <v>3068</v>
      </c>
      <c r="J696">
        <v>2666.08</v>
      </c>
    </row>
    <row r="697" spans="1:10" x14ac:dyDescent="0.25">
      <c r="A697" t="s">
        <v>705</v>
      </c>
      <c r="B697" t="s">
        <v>1903</v>
      </c>
      <c r="C697" t="s">
        <v>2403</v>
      </c>
      <c r="D697">
        <v>5</v>
      </c>
      <c r="E697">
        <v>101.3</v>
      </c>
      <c r="F697" t="s">
        <v>2564</v>
      </c>
      <c r="G697" t="s">
        <v>3062</v>
      </c>
      <c r="H697">
        <v>7</v>
      </c>
      <c r="I697" t="s">
        <v>3068</v>
      </c>
      <c r="J697">
        <v>506.5</v>
      </c>
    </row>
    <row r="698" spans="1:10" x14ac:dyDescent="0.25">
      <c r="A698" t="s">
        <v>706</v>
      </c>
      <c r="B698" t="s">
        <v>1904</v>
      </c>
      <c r="C698" t="s">
        <v>2402</v>
      </c>
      <c r="D698">
        <v>4</v>
      </c>
      <c r="E698">
        <v>151.19999999999999</v>
      </c>
      <c r="F698" t="s">
        <v>2875</v>
      </c>
      <c r="G698" t="s">
        <v>3064</v>
      </c>
      <c r="H698">
        <v>9</v>
      </c>
      <c r="I698" t="s">
        <v>3069</v>
      </c>
      <c r="J698">
        <v>604.79999999999995</v>
      </c>
    </row>
    <row r="699" spans="1:10" x14ac:dyDescent="0.25">
      <c r="A699" t="s">
        <v>707</v>
      </c>
      <c r="B699" t="s">
        <v>1905</v>
      </c>
      <c r="C699" t="s">
        <v>2403</v>
      </c>
      <c r="D699">
        <v>5</v>
      </c>
      <c r="E699">
        <v>94.85</v>
      </c>
      <c r="F699" t="s">
        <v>2836</v>
      </c>
      <c r="G699" t="s">
        <v>3065</v>
      </c>
      <c r="H699">
        <v>6</v>
      </c>
      <c r="I699" t="s">
        <v>3068</v>
      </c>
      <c r="J699">
        <v>474.25</v>
      </c>
    </row>
    <row r="700" spans="1:10" x14ac:dyDescent="0.25">
      <c r="A700" t="s">
        <v>708</v>
      </c>
      <c r="B700" t="s">
        <v>1906</v>
      </c>
      <c r="C700" t="s">
        <v>2404</v>
      </c>
      <c r="D700">
        <v>2</v>
      </c>
      <c r="E700">
        <v>388.22</v>
      </c>
      <c r="F700" t="s">
        <v>2788</v>
      </c>
      <c r="G700" t="s">
        <v>3065</v>
      </c>
      <c r="H700">
        <v>2</v>
      </c>
      <c r="I700" t="s">
        <v>3066</v>
      </c>
      <c r="J700">
        <v>776.44</v>
      </c>
    </row>
    <row r="701" spans="1:10" x14ac:dyDescent="0.25">
      <c r="A701" t="s">
        <v>709</v>
      </c>
      <c r="B701" t="s">
        <v>1907</v>
      </c>
      <c r="C701" t="s">
        <v>2404</v>
      </c>
      <c r="D701">
        <v>3</v>
      </c>
      <c r="E701">
        <v>614.15</v>
      </c>
      <c r="F701" t="s">
        <v>2876</v>
      </c>
      <c r="G701" t="s">
        <v>3064</v>
      </c>
      <c r="H701">
        <v>3</v>
      </c>
      <c r="I701" t="s">
        <v>3069</v>
      </c>
      <c r="J701">
        <v>1842.45</v>
      </c>
    </row>
    <row r="702" spans="1:10" x14ac:dyDescent="0.25">
      <c r="A702" t="s">
        <v>710</v>
      </c>
      <c r="B702" t="s">
        <v>1908</v>
      </c>
      <c r="C702" t="s">
        <v>2404</v>
      </c>
      <c r="D702">
        <v>2</v>
      </c>
      <c r="E702">
        <v>92.91</v>
      </c>
      <c r="F702" t="s">
        <v>2877</v>
      </c>
      <c r="G702" t="s">
        <v>3065</v>
      </c>
      <c r="H702">
        <v>3</v>
      </c>
      <c r="I702" t="s">
        <v>3066</v>
      </c>
      <c r="J702">
        <v>185.82</v>
      </c>
    </row>
    <row r="703" spans="1:10" x14ac:dyDescent="0.25">
      <c r="A703" t="s">
        <v>711</v>
      </c>
      <c r="B703" t="s">
        <v>1909</v>
      </c>
      <c r="C703" t="s">
        <v>2399</v>
      </c>
      <c r="D703">
        <v>3</v>
      </c>
      <c r="E703">
        <v>92.22</v>
      </c>
      <c r="F703" t="s">
        <v>2513</v>
      </c>
      <c r="G703" t="s">
        <v>3063</v>
      </c>
      <c r="H703">
        <v>5</v>
      </c>
      <c r="I703" t="s">
        <v>3068</v>
      </c>
      <c r="J703">
        <v>276.66000000000003</v>
      </c>
    </row>
    <row r="704" spans="1:10" x14ac:dyDescent="0.25">
      <c r="A704" t="s">
        <v>712</v>
      </c>
      <c r="B704" t="s">
        <v>1910</v>
      </c>
      <c r="C704" t="s">
        <v>2403</v>
      </c>
      <c r="D704">
        <v>3</v>
      </c>
      <c r="E704">
        <v>562.54999999999995</v>
      </c>
      <c r="F704" t="s">
        <v>2838</v>
      </c>
      <c r="G704" t="s">
        <v>3061</v>
      </c>
      <c r="H704">
        <v>6</v>
      </c>
      <c r="I704" t="s">
        <v>3068</v>
      </c>
      <c r="J704">
        <v>1687.65</v>
      </c>
    </row>
    <row r="705" spans="1:10" x14ac:dyDescent="0.25">
      <c r="A705" t="s">
        <v>713</v>
      </c>
      <c r="B705" t="s">
        <v>1911</v>
      </c>
      <c r="C705" t="s">
        <v>2405</v>
      </c>
      <c r="D705">
        <v>1</v>
      </c>
      <c r="E705">
        <v>92.79</v>
      </c>
      <c r="F705" t="s">
        <v>2878</v>
      </c>
      <c r="G705" t="s">
        <v>3065</v>
      </c>
      <c r="H705">
        <v>3</v>
      </c>
      <c r="I705" t="s">
        <v>3068</v>
      </c>
      <c r="J705">
        <v>92.79</v>
      </c>
    </row>
    <row r="706" spans="1:10" x14ac:dyDescent="0.25">
      <c r="A706" t="s">
        <v>714</v>
      </c>
      <c r="B706" t="s">
        <v>1912</v>
      </c>
      <c r="C706" t="s">
        <v>2405</v>
      </c>
      <c r="D706">
        <v>4</v>
      </c>
      <c r="E706">
        <v>30.27</v>
      </c>
      <c r="F706" t="s">
        <v>2551</v>
      </c>
      <c r="G706" t="s">
        <v>3062</v>
      </c>
      <c r="H706">
        <v>9</v>
      </c>
      <c r="I706" t="s">
        <v>3070</v>
      </c>
      <c r="J706">
        <v>121.08</v>
      </c>
    </row>
    <row r="707" spans="1:10" x14ac:dyDescent="0.25">
      <c r="A707" t="s">
        <v>715</v>
      </c>
      <c r="B707" t="s">
        <v>1913</v>
      </c>
      <c r="C707" t="s">
        <v>2399</v>
      </c>
      <c r="D707">
        <v>2</v>
      </c>
      <c r="E707">
        <v>49.08</v>
      </c>
      <c r="F707" t="s">
        <v>2879</v>
      </c>
      <c r="G707" t="s">
        <v>3061</v>
      </c>
      <c r="H707">
        <v>7</v>
      </c>
      <c r="I707" t="s">
        <v>3066</v>
      </c>
      <c r="J707">
        <v>98.16</v>
      </c>
    </row>
    <row r="708" spans="1:10" x14ac:dyDescent="0.25">
      <c r="A708" t="s">
        <v>716</v>
      </c>
      <c r="B708" t="s">
        <v>1914</v>
      </c>
      <c r="C708" t="s">
        <v>2405</v>
      </c>
      <c r="D708">
        <v>5</v>
      </c>
      <c r="E708">
        <v>228.09</v>
      </c>
      <c r="F708" t="s">
        <v>2716</v>
      </c>
      <c r="G708" t="s">
        <v>3064</v>
      </c>
      <c r="H708">
        <v>9</v>
      </c>
      <c r="I708" t="s">
        <v>3069</v>
      </c>
      <c r="J708">
        <v>1140.45</v>
      </c>
    </row>
    <row r="709" spans="1:10" x14ac:dyDescent="0.25">
      <c r="A709" t="s">
        <v>717</v>
      </c>
      <c r="B709" t="s">
        <v>1915</v>
      </c>
      <c r="C709" t="s">
        <v>2402</v>
      </c>
      <c r="D709">
        <v>4</v>
      </c>
      <c r="E709">
        <v>650.04</v>
      </c>
      <c r="F709" t="s">
        <v>2483</v>
      </c>
      <c r="G709" t="s">
        <v>3064</v>
      </c>
      <c r="H709">
        <v>6</v>
      </c>
      <c r="I709" t="s">
        <v>3069</v>
      </c>
      <c r="J709">
        <v>2600.16</v>
      </c>
    </row>
    <row r="710" spans="1:10" x14ac:dyDescent="0.25">
      <c r="A710" t="s">
        <v>718</v>
      </c>
      <c r="B710" t="s">
        <v>1916</v>
      </c>
      <c r="C710" t="s">
        <v>2403</v>
      </c>
      <c r="D710">
        <v>1</v>
      </c>
      <c r="E710">
        <v>665.11</v>
      </c>
      <c r="F710" t="s">
        <v>2836</v>
      </c>
      <c r="G710" t="s">
        <v>3065</v>
      </c>
      <c r="H710">
        <v>3</v>
      </c>
      <c r="I710" t="s">
        <v>3066</v>
      </c>
      <c r="J710">
        <v>665.11</v>
      </c>
    </row>
    <row r="711" spans="1:10" x14ac:dyDescent="0.25">
      <c r="A711" t="s">
        <v>719</v>
      </c>
      <c r="B711" t="s">
        <v>1917</v>
      </c>
      <c r="C711" t="s">
        <v>2405</v>
      </c>
      <c r="D711">
        <v>1</v>
      </c>
      <c r="E711">
        <v>386.03</v>
      </c>
      <c r="F711" t="s">
        <v>2880</v>
      </c>
      <c r="G711" t="s">
        <v>3062</v>
      </c>
      <c r="H711">
        <v>4</v>
      </c>
      <c r="I711" t="s">
        <v>3070</v>
      </c>
      <c r="J711">
        <v>386.03</v>
      </c>
    </row>
    <row r="712" spans="1:10" x14ac:dyDescent="0.25">
      <c r="A712" t="s">
        <v>720</v>
      </c>
      <c r="B712" t="s">
        <v>1918</v>
      </c>
      <c r="C712" t="s">
        <v>2404</v>
      </c>
      <c r="D712">
        <v>5</v>
      </c>
      <c r="E712">
        <v>21.54</v>
      </c>
      <c r="F712" t="s">
        <v>2881</v>
      </c>
      <c r="G712" t="s">
        <v>3064</v>
      </c>
      <c r="H712">
        <v>10</v>
      </c>
      <c r="I712" t="s">
        <v>3070</v>
      </c>
      <c r="J712">
        <v>107.7</v>
      </c>
    </row>
    <row r="713" spans="1:10" x14ac:dyDescent="0.25">
      <c r="A713" t="s">
        <v>721</v>
      </c>
      <c r="B713" t="s">
        <v>1919</v>
      </c>
      <c r="C713" t="s">
        <v>2401</v>
      </c>
      <c r="D713">
        <v>2</v>
      </c>
      <c r="E713">
        <v>475.78</v>
      </c>
      <c r="F713" t="s">
        <v>2882</v>
      </c>
      <c r="G713" t="s">
        <v>3062</v>
      </c>
      <c r="H713">
        <v>2</v>
      </c>
      <c r="I713" t="s">
        <v>3070</v>
      </c>
      <c r="J713">
        <v>951.56</v>
      </c>
    </row>
    <row r="714" spans="1:10" x14ac:dyDescent="0.25">
      <c r="A714" t="s">
        <v>722</v>
      </c>
      <c r="B714" t="s">
        <v>1767</v>
      </c>
      <c r="C714" t="s">
        <v>2401</v>
      </c>
      <c r="D714">
        <v>2</v>
      </c>
      <c r="E714">
        <v>68.400000000000006</v>
      </c>
      <c r="F714" t="s">
        <v>2883</v>
      </c>
      <c r="G714" t="s">
        <v>3064</v>
      </c>
      <c r="H714">
        <v>7</v>
      </c>
      <c r="I714" t="s">
        <v>3068</v>
      </c>
      <c r="J714">
        <v>136.80000000000001</v>
      </c>
    </row>
    <row r="715" spans="1:10" x14ac:dyDescent="0.25">
      <c r="A715" t="s">
        <v>723</v>
      </c>
      <c r="B715" t="s">
        <v>1920</v>
      </c>
      <c r="C715" t="s">
        <v>2401</v>
      </c>
      <c r="D715">
        <v>4</v>
      </c>
      <c r="E715">
        <v>532.49</v>
      </c>
      <c r="F715" t="s">
        <v>2869</v>
      </c>
      <c r="G715" t="s">
        <v>3062</v>
      </c>
      <c r="H715">
        <v>6</v>
      </c>
      <c r="I715" t="s">
        <v>3069</v>
      </c>
      <c r="J715">
        <v>2129.96</v>
      </c>
    </row>
    <row r="716" spans="1:10" x14ac:dyDescent="0.25">
      <c r="A716" t="s">
        <v>724</v>
      </c>
      <c r="B716" t="s">
        <v>1921</v>
      </c>
      <c r="C716" t="s">
        <v>2404</v>
      </c>
      <c r="D716">
        <v>1</v>
      </c>
      <c r="E716">
        <v>51.73</v>
      </c>
      <c r="F716" t="s">
        <v>2656</v>
      </c>
      <c r="G716" t="s">
        <v>3061</v>
      </c>
      <c r="H716">
        <v>1</v>
      </c>
      <c r="I716" t="s">
        <v>3069</v>
      </c>
      <c r="J716">
        <v>51.73</v>
      </c>
    </row>
    <row r="717" spans="1:10" x14ac:dyDescent="0.25">
      <c r="A717" t="s">
        <v>725</v>
      </c>
      <c r="B717" t="s">
        <v>1922</v>
      </c>
      <c r="C717" t="s">
        <v>2403</v>
      </c>
      <c r="D717">
        <v>3</v>
      </c>
      <c r="E717">
        <v>653.63</v>
      </c>
      <c r="F717" t="s">
        <v>2884</v>
      </c>
      <c r="G717" t="s">
        <v>3062</v>
      </c>
      <c r="H717">
        <v>7</v>
      </c>
      <c r="I717" t="s">
        <v>3068</v>
      </c>
      <c r="J717">
        <v>1960.89</v>
      </c>
    </row>
    <row r="718" spans="1:10" x14ac:dyDescent="0.25">
      <c r="A718" t="s">
        <v>726</v>
      </c>
      <c r="B718" t="s">
        <v>1923</v>
      </c>
      <c r="C718" t="s">
        <v>2402</v>
      </c>
      <c r="D718">
        <v>3</v>
      </c>
      <c r="E718">
        <v>454.29</v>
      </c>
      <c r="F718" t="s">
        <v>2424</v>
      </c>
      <c r="G718" t="s">
        <v>3063</v>
      </c>
      <c r="H718">
        <v>4</v>
      </c>
      <c r="I718" t="s">
        <v>3070</v>
      </c>
      <c r="J718">
        <v>1362.87</v>
      </c>
    </row>
    <row r="719" spans="1:10" x14ac:dyDescent="0.25">
      <c r="A719" t="s">
        <v>727</v>
      </c>
      <c r="B719" t="s">
        <v>1924</v>
      </c>
      <c r="C719" t="s">
        <v>2402</v>
      </c>
      <c r="D719">
        <v>3</v>
      </c>
      <c r="E719">
        <v>122.11</v>
      </c>
      <c r="F719" t="s">
        <v>2885</v>
      </c>
      <c r="G719" t="s">
        <v>3062</v>
      </c>
      <c r="H719">
        <v>4</v>
      </c>
      <c r="I719" t="s">
        <v>3068</v>
      </c>
      <c r="J719">
        <v>366.33</v>
      </c>
    </row>
    <row r="720" spans="1:10" x14ac:dyDescent="0.25">
      <c r="A720" t="s">
        <v>728</v>
      </c>
      <c r="B720" t="s">
        <v>1925</v>
      </c>
      <c r="C720" t="s">
        <v>2404</v>
      </c>
      <c r="D720">
        <v>4</v>
      </c>
      <c r="E720">
        <v>64.739999999999995</v>
      </c>
      <c r="F720" t="s">
        <v>2886</v>
      </c>
      <c r="G720" t="s">
        <v>3064</v>
      </c>
      <c r="H720">
        <v>8</v>
      </c>
      <c r="I720" t="s">
        <v>3070</v>
      </c>
      <c r="J720">
        <v>258.95999999999998</v>
      </c>
    </row>
    <row r="721" spans="1:10" x14ac:dyDescent="0.25">
      <c r="A721" t="s">
        <v>729</v>
      </c>
      <c r="B721" t="s">
        <v>1926</v>
      </c>
      <c r="C721" t="s">
        <v>2404</v>
      </c>
      <c r="D721">
        <v>2</v>
      </c>
      <c r="E721">
        <v>681.06</v>
      </c>
      <c r="F721" t="s">
        <v>2887</v>
      </c>
      <c r="G721" t="s">
        <v>3061</v>
      </c>
      <c r="H721">
        <v>3</v>
      </c>
      <c r="I721" t="s">
        <v>3069</v>
      </c>
      <c r="J721">
        <v>1362.12</v>
      </c>
    </row>
    <row r="722" spans="1:10" x14ac:dyDescent="0.25">
      <c r="A722" t="s">
        <v>730</v>
      </c>
      <c r="B722" t="s">
        <v>1927</v>
      </c>
      <c r="C722" t="s">
        <v>2405</v>
      </c>
      <c r="D722">
        <v>5</v>
      </c>
      <c r="E722">
        <v>128.94999999999999</v>
      </c>
      <c r="F722" t="s">
        <v>2888</v>
      </c>
      <c r="G722" t="s">
        <v>3065</v>
      </c>
      <c r="H722">
        <v>10</v>
      </c>
      <c r="I722" t="s">
        <v>3066</v>
      </c>
      <c r="J722">
        <v>644.75</v>
      </c>
    </row>
    <row r="723" spans="1:10" x14ac:dyDescent="0.25">
      <c r="A723" t="s">
        <v>731</v>
      </c>
      <c r="B723" t="s">
        <v>1928</v>
      </c>
      <c r="C723" t="s">
        <v>2405</v>
      </c>
      <c r="D723">
        <v>2</v>
      </c>
      <c r="E723">
        <v>118.59</v>
      </c>
      <c r="F723" t="s">
        <v>2889</v>
      </c>
      <c r="G723" t="s">
        <v>3063</v>
      </c>
      <c r="H723">
        <v>2</v>
      </c>
      <c r="I723" t="s">
        <v>3068</v>
      </c>
      <c r="J723">
        <v>237.18</v>
      </c>
    </row>
    <row r="724" spans="1:10" x14ac:dyDescent="0.25">
      <c r="A724" t="s">
        <v>732</v>
      </c>
      <c r="B724" t="s">
        <v>1929</v>
      </c>
      <c r="C724" t="s">
        <v>2403</v>
      </c>
      <c r="D724">
        <v>1</v>
      </c>
      <c r="E724">
        <v>95.1</v>
      </c>
      <c r="F724" t="s">
        <v>2650</v>
      </c>
      <c r="G724" t="s">
        <v>3064</v>
      </c>
      <c r="H724">
        <v>1</v>
      </c>
      <c r="I724" t="s">
        <v>3066</v>
      </c>
      <c r="J724">
        <v>95.1</v>
      </c>
    </row>
    <row r="725" spans="1:10" x14ac:dyDescent="0.25">
      <c r="A725" t="s">
        <v>733</v>
      </c>
      <c r="B725" t="s">
        <v>1930</v>
      </c>
      <c r="C725" t="s">
        <v>2405</v>
      </c>
      <c r="D725">
        <v>3</v>
      </c>
      <c r="E725">
        <v>54.95</v>
      </c>
      <c r="F725" t="s">
        <v>2467</v>
      </c>
      <c r="G725" t="s">
        <v>3065</v>
      </c>
      <c r="H725">
        <v>8</v>
      </c>
      <c r="I725" t="s">
        <v>3067</v>
      </c>
      <c r="J725">
        <v>164.85</v>
      </c>
    </row>
    <row r="726" spans="1:10" x14ac:dyDescent="0.25">
      <c r="A726" t="s">
        <v>734</v>
      </c>
      <c r="B726" t="s">
        <v>1931</v>
      </c>
      <c r="C726" t="s">
        <v>2403</v>
      </c>
      <c r="D726">
        <v>3</v>
      </c>
      <c r="E726">
        <v>136.97</v>
      </c>
      <c r="F726" t="s">
        <v>2663</v>
      </c>
      <c r="G726" t="s">
        <v>3063</v>
      </c>
      <c r="H726">
        <v>4</v>
      </c>
      <c r="I726" t="s">
        <v>3067</v>
      </c>
      <c r="J726">
        <v>410.91</v>
      </c>
    </row>
    <row r="727" spans="1:10" x14ac:dyDescent="0.25">
      <c r="A727" t="s">
        <v>735</v>
      </c>
      <c r="B727" t="s">
        <v>1932</v>
      </c>
      <c r="C727" t="s">
        <v>2402</v>
      </c>
      <c r="D727">
        <v>2</v>
      </c>
      <c r="E727">
        <v>194.85</v>
      </c>
      <c r="F727" t="s">
        <v>2783</v>
      </c>
      <c r="G727" t="s">
        <v>3064</v>
      </c>
      <c r="H727">
        <v>5</v>
      </c>
      <c r="I727" t="s">
        <v>3067</v>
      </c>
      <c r="J727">
        <v>389.7</v>
      </c>
    </row>
    <row r="728" spans="1:10" x14ac:dyDescent="0.25">
      <c r="A728" t="s">
        <v>736</v>
      </c>
      <c r="B728" t="s">
        <v>1933</v>
      </c>
      <c r="C728" t="s">
        <v>2404</v>
      </c>
      <c r="D728">
        <v>4</v>
      </c>
      <c r="E728">
        <v>583.02</v>
      </c>
      <c r="F728" t="s">
        <v>2890</v>
      </c>
      <c r="G728" t="s">
        <v>3062</v>
      </c>
      <c r="H728">
        <v>4</v>
      </c>
      <c r="I728" t="s">
        <v>3069</v>
      </c>
      <c r="J728">
        <v>2332.08</v>
      </c>
    </row>
    <row r="729" spans="1:10" x14ac:dyDescent="0.25">
      <c r="A729" t="s">
        <v>737</v>
      </c>
      <c r="B729" t="s">
        <v>1934</v>
      </c>
      <c r="C729" t="s">
        <v>2402</v>
      </c>
      <c r="D729">
        <v>5</v>
      </c>
      <c r="E729">
        <v>95.75</v>
      </c>
      <c r="F729" t="s">
        <v>2744</v>
      </c>
      <c r="G729" t="s">
        <v>3062</v>
      </c>
      <c r="H729">
        <v>8</v>
      </c>
      <c r="I729" t="s">
        <v>3066</v>
      </c>
      <c r="J729">
        <v>478.75</v>
      </c>
    </row>
    <row r="730" spans="1:10" x14ac:dyDescent="0.25">
      <c r="A730" t="s">
        <v>738</v>
      </c>
      <c r="B730" t="s">
        <v>1935</v>
      </c>
      <c r="C730" t="s">
        <v>2405</v>
      </c>
      <c r="D730">
        <v>4</v>
      </c>
      <c r="E730">
        <v>325.76</v>
      </c>
      <c r="F730" t="s">
        <v>2891</v>
      </c>
      <c r="G730" t="s">
        <v>3064</v>
      </c>
      <c r="H730">
        <v>8</v>
      </c>
      <c r="I730" t="s">
        <v>3068</v>
      </c>
      <c r="J730">
        <v>1303.04</v>
      </c>
    </row>
    <row r="731" spans="1:10" x14ac:dyDescent="0.25">
      <c r="A731" t="s">
        <v>739</v>
      </c>
      <c r="B731" t="s">
        <v>1936</v>
      </c>
      <c r="C731" t="s">
        <v>2400</v>
      </c>
      <c r="D731">
        <v>4</v>
      </c>
      <c r="E731">
        <v>186.41</v>
      </c>
      <c r="F731" t="s">
        <v>2551</v>
      </c>
      <c r="G731" t="s">
        <v>3064</v>
      </c>
      <c r="H731">
        <v>6</v>
      </c>
      <c r="I731" t="s">
        <v>3070</v>
      </c>
      <c r="J731">
        <v>745.64</v>
      </c>
    </row>
    <row r="732" spans="1:10" x14ac:dyDescent="0.25">
      <c r="A732" t="s">
        <v>740</v>
      </c>
      <c r="B732" t="s">
        <v>1937</v>
      </c>
      <c r="C732" t="s">
        <v>2400</v>
      </c>
      <c r="D732">
        <v>1</v>
      </c>
      <c r="E732">
        <v>474.6</v>
      </c>
      <c r="F732" t="s">
        <v>2614</v>
      </c>
      <c r="G732" t="s">
        <v>3061</v>
      </c>
      <c r="H732">
        <v>4</v>
      </c>
      <c r="I732" t="s">
        <v>3068</v>
      </c>
      <c r="J732">
        <v>474.6</v>
      </c>
    </row>
    <row r="733" spans="1:10" x14ac:dyDescent="0.25">
      <c r="A733" t="s">
        <v>741</v>
      </c>
      <c r="B733" t="s">
        <v>1938</v>
      </c>
      <c r="C733" t="s">
        <v>2403</v>
      </c>
      <c r="D733">
        <v>5</v>
      </c>
      <c r="E733">
        <v>584.46</v>
      </c>
      <c r="F733" t="s">
        <v>2892</v>
      </c>
      <c r="G733" t="s">
        <v>3063</v>
      </c>
      <c r="H733">
        <v>8</v>
      </c>
      <c r="I733" t="s">
        <v>3068</v>
      </c>
      <c r="J733">
        <v>2922.3</v>
      </c>
    </row>
    <row r="734" spans="1:10" x14ac:dyDescent="0.25">
      <c r="A734" t="s">
        <v>742</v>
      </c>
      <c r="B734" t="s">
        <v>1939</v>
      </c>
      <c r="C734" t="s">
        <v>2404</v>
      </c>
      <c r="D734">
        <v>1</v>
      </c>
      <c r="E734">
        <v>132.05000000000001</v>
      </c>
      <c r="F734" t="s">
        <v>2872</v>
      </c>
      <c r="G734" t="s">
        <v>3062</v>
      </c>
      <c r="H734">
        <v>2</v>
      </c>
      <c r="I734" t="s">
        <v>3070</v>
      </c>
      <c r="J734">
        <v>132.05000000000001</v>
      </c>
    </row>
    <row r="735" spans="1:10" x14ac:dyDescent="0.25">
      <c r="A735" t="s">
        <v>743</v>
      </c>
      <c r="B735" t="s">
        <v>1940</v>
      </c>
      <c r="C735" t="s">
        <v>2401</v>
      </c>
      <c r="D735">
        <v>4</v>
      </c>
      <c r="E735">
        <v>494.84</v>
      </c>
      <c r="F735" t="s">
        <v>2865</v>
      </c>
      <c r="G735" t="s">
        <v>3065</v>
      </c>
      <c r="H735">
        <v>8</v>
      </c>
      <c r="I735" t="s">
        <v>3068</v>
      </c>
      <c r="J735">
        <v>1979.36</v>
      </c>
    </row>
    <row r="736" spans="1:10" x14ac:dyDescent="0.25">
      <c r="A736" t="s">
        <v>744</v>
      </c>
      <c r="B736" t="s">
        <v>1941</v>
      </c>
      <c r="C736" t="s">
        <v>2403</v>
      </c>
      <c r="D736">
        <v>4</v>
      </c>
      <c r="E736">
        <v>224.61</v>
      </c>
      <c r="F736" t="s">
        <v>2651</v>
      </c>
      <c r="G736" t="s">
        <v>3063</v>
      </c>
      <c r="H736">
        <v>6</v>
      </c>
      <c r="I736" t="s">
        <v>3069</v>
      </c>
      <c r="J736">
        <v>898.44</v>
      </c>
    </row>
    <row r="737" spans="1:10" x14ac:dyDescent="0.25">
      <c r="A737" t="s">
        <v>745</v>
      </c>
      <c r="B737" t="s">
        <v>1942</v>
      </c>
      <c r="C737" t="s">
        <v>2399</v>
      </c>
      <c r="D737">
        <v>4</v>
      </c>
      <c r="E737">
        <v>44.07</v>
      </c>
      <c r="F737" t="s">
        <v>2725</v>
      </c>
      <c r="G737" t="s">
        <v>3061</v>
      </c>
      <c r="H737">
        <v>6</v>
      </c>
      <c r="I737" t="s">
        <v>3068</v>
      </c>
      <c r="J737">
        <v>176.28</v>
      </c>
    </row>
    <row r="738" spans="1:10" x14ac:dyDescent="0.25">
      <c r="A738" t="s">
        <v>746</v>
      </c>
      <c r="B738" t="s">
        <v>1943</v>
      </c>
      <c r="C738" t="s">
        <v>2399</v>
      </c>
      <c r="D738">
        <v>5</v>
      </c>
      <c r="E738">
        <v>418.53</v>
      </c>
      <c r="F738" t="s">
        <v>2792</v>
      </c>
      <c r="G738" t="s">
        <v>3063</v>
      </c>
      <c r="H738">
        <v>6</v>
      </c>
      <c r="I738" t="s">
        <v>3070</v>
      </c>
      <c r="J738">
        <v>2092.65</v>
      </c>
    </row>
    <row r="739" spans="1:10" x14ac:dyDescent="0.25">
      <c r="A739" t="s">
        <v>747</v>
      </c>
      <c r="B739" t="s">
        <v>1944</v>
      </c>
      <c r="C739" t="s">
        <v>2400</v>
      </c>
      <c r="D739">
        <v>4</v>
      </c>
      <c r="E739">
        <v>532.87</v>
      </c>
      <c r="F739" t="s">
        <v>2893</v>
      </c>
      <c r="G739" t="s">
        <v>3065</v>
      </c>
      <c r="H739">
        <v>9</v>
      </c>
      <c r="I739" t="s">
        <v>3066</v>
      </c>
      <c r="J739">
        <v>2131.48</v>
      </c>
    </row>
    <row r="740" spans="1:10" x14ac:dyDescent="0.25">
      <c r="A740" t="s">
        <v>748</v>
      </c>
      <c r="B740" t="s">
        <v>1945</v>
      </c>
      <c r="C740" t="s">
        <v>2400</v>
      </c>
      <c r="D740">
        <v>2</v>
      </c>
      <c r="E740">
        <v>485.37</v>
      </c>
      <c r="F740" t="s">
        <v>2894</v>
      </c>
      <c r="G740" t="s">
        <v>3063</v>
      </c>
      <c r="H740">
        <v>5</v>
      </c>
      <c r="I740" t="s">
        <v>3068</v>
      </c>
      <c r="J740">
        <v>970.74</v>
      </c>
    </row>
    <row r="741" spans="1:10" x14ac:dyDescent="0.25">
      <c r="A741" t="s">
        <v>749</v>
      </c>
      <c r="B741" t="s">
        <v>1946</v>
      </c>
      <c r="C741" t="s">
        <v>2400</v>
      </c>
      <c r="D741">
        <v>4</v>
      </c>
      <c r="E741">
        <v>386.73</v>
      </c>
      <c r="F741" t="s">
        <v>2528</v>
      </c>
      <c r="G741" t="s">
        <v>3065</v>
      </c>
      <c r="H741">
        <v>4</v>
      </c>
      <c r="I741" t="s">
        <v>3069</v>
      </c>
      <c r="J741">
        <v>1546.92</v>
      </c>
    </row>
    <row r="742" spans="1:10" x14ac:dyDescent="0.25">
      <c r="A742" t="s">
        <v>750</v>
      </c>
      <c r="B742" t="s">
        <v>1947</v>
      </c>
      <c r="C742" t="s">
        <v>2405</v>
      </c>
      <c r="D742">
        <v>2</v>
      </c>
      <c r="E742">
        <v>377.47</v>
      </c>
      <c r="F742" t="s">
        <v>2745</v>
      </c>
      <c r="G742" t="s">
        <v>3065</v>
      </c>
      <c r="H742">
        <v>7</v>
      </c>
      <c r="I742" t="s">
        <v>3070</v>
      </c>
      <c r="J742">
        <v>754.94</v>
      </c>
    </row>
    <row r="743" spans="1:10" x14ac:dyDescent="0.25">
      <c r="A743" t="s">
        <v>751</v>
      </c>
      <c r="B743" t="s">
        <v>1948</v>
      </c>
      <c r="C743" t="s">
        <v>2399</v>
      </c>
      <c r="D743">
        <v>5</v>
      </c>
      <c r="E743">
        <v>332.64</v>
      </c>
      <c r="F743" t="s">
        <v>2895</v>
      </c>
      <c r="G743" t="s">
        <v>3064</v>
      </c>
      <c r="H743">
        <v>10</v>
      </c>
      <c r="I743" t="s">
        <v>3067</v>
      </c>
      <c r="J743">
        <v>1663.2</v>
      </c>
    </row>
    <row r="744" spans="1:10" x14ac:dyDescent="0.25">
      <c r="A744" t="s">
        <v>752</v>
      </c>
      <c r="B744" t="s">
        <v>1949</v>
      </c>
      <c r="C744" t="s">
        <v>2404</v>
      </c>
      <c r="D744">
        <v>3</v>
      </c>
      <c r="E744">
        <v>699.93</v>
      </c>
      <c r="F744" t="s">
        <v>2660</v>
      </c>
      <c r="G744" t="s">
        <v>3065</v>
      </c>
      <c r="H744">
        <v>7</v>
      </c>
      <c r="I744" t="s">
        <v>3070</v>
      </c>
      <c r="J744">
        <v>2099.79</v>
      </c>
    </row>
    <row r="745" spans="1:10" x14ac:dyDescent="0.25">
      <c r="A745" t="s">
        <v>753</v>
      </c>
      <c r="B745" t="s">
        <v>1950</v>
      </c>
      <c r="C745" t="s">
        <v>2399</v>
      </c>
      <c r="D745">
        <v>1</v>
      </c>
      <c r="E745">
        <v>576.35</v>
      </c>
      <c r="F745" t="s">
        <v>2444</v>
      </c>
      <c r="G745" t="s">
        <v>3064</v>
      </c>
      <c r="H745">
        <v>1</v>
      </c>
      <c r="I745" t="s">
        <v>3066</v>
      </c>
      <c r="J745">
        <v>576.35</v>
      </c>
    </row>
    <row r="746" spans="1:10" x14ac:dyDescent="0.25">
      <c r="A746" t="s">
        <v>754</v>
      </c>
      <c r="B746" t="s">
        <v>1951</v>
      </c>
      <c r="C746" t="s">
        <v>2401</v>
      </c>
      <c r="D746">
        <v>2</v>
      </c>
      <c r="E746">
        <v>461.37</v>
      </c>
      <c r="F746" t="s">
        <v>2896</v>
      </c>
      <c r="G746" t="s">
        <v>3065</v>
      </c>
      <c r="H746">
        <v>5</v>
      </c>
      <c r="I746" t="s">
        <v>3070</v>
      </c>
      <c r="J746">
        <v>922.74</v>
      </c>
    </row>
    <row r="747" spans="1:10" x14ac:dyDescent="0.25">
      <c r="A747" t="s">
        <v>755</v>
      </c>
      <c r="B747" t="s">
        <v>1952</v>
      </c>
      <c r="C747" t="s">
        <v>2403</v>
      </c>
      <c r="D747">
        <v>4</v>
      </c>
      <c r="E747">
        <v>111.3</v>
      </c>
      <c r="F747" t="s">
        <v>2897</v>
      </c>
      <c r="G747" t="s">
        <v>3061</v>
      </c>
      <c r="H747">
        <v>7</v>
      </c>
      <c r="I747" t="s">
        <v>3068</v>
      </c>
      <c r="J747">
        <v>445.2</v>
      </c>
    </row>
    <row r="748" spans="1:10" x14ac:dyDescent="0.25">
      <c r="A748" t="s">
        <v>756</v>
      </c>
      <c r="B748" t="s">
        <v>1953</v>
      </c>
      <c r="C748" t="s">
        <v>2405</v>
      </c>
      <c r="D748">
        <v>3</v>
      </c>
      <c r="E748">
        <v>661.89</v>
      </c>
      <c r="F748" t="s">
        <v>2898</v>
      </c>
      <c r="G748" t="s">
        <v>3062</v>
      </c>
      <c r="H748">
        <v>6</v>
      </c>
      <c r="I748" t="s">
        <v>3067</v>
      </c>
      <c r="J748">
        <v>1985.67</v>
      </c>
    </row>
    <row r="749" spans="1:10" x14ac:dyDescent="0.25">
      <c r="A749" t="s">
        <v>757</v>
      </c>
      <c r="B749" t="s">
        <v>1954</v>
      </c>
      <c r="C749" t="s">
        <v>2401</v>
      </c>
      <c r="D749">
        <v>2</v>
      </c>
      <c r="E749">
        <v>259.58</v>
      </c>
      <c r="F749" t="s">
        <v>2899</v>
      </c>
      <c r="G749" t="s">
        <v>3061</v>
      </c>
      <c r="H749">
        <v>7</v>
      </c>
      <c r="I749" t="s">
        <v>3066</v>
      </c>
      <c r="J749">
        <v>519.16</v>
      </c>
    </row>
    <row r="750" spans="1:10" x14ac:dyDescent="0.25">
      <c r="A750" t="s">
        <v>758</v>
      </c>
      <c r="B750" t="s">
        <v>1955</v>
      </c>
      <c r="C750" t="s">
        <v>2401</v>
      </c>
      <c r="D750">
        <v>3</v>
      </c>
      <c r="E750">
        <v>70.81</v>
      </c>
      <c r="F750" t="s">
        <v>2785</v>
      </c>
      <c r="G750" t="s">
        <v>3063</v>
      </c>
      <c r="H750">
        <v>8</v>
      </c>
      <c r="I750" t="s">
        <v>3067</v>
      </c>
      <c r="J750">
        <v>212.43</v>
      </c>
    </row>
    <row r="751" spans="1:10" x14ac:dyDescent="0.25">
      <c r="A751" t="s">
        <v>759</v>
      </c>
      <c r="B751" t="s">
        <v>1956</v>
      </c>
      <c r="C751" t="s">
        <v>2404</v>
      </c>
      <c r="D751">
        <v>1</v>
      </c>
      <c r="E751">
        <v>518.39</v>
      </c>
      <c r="F751" t="s">
        <v>2900</v>
      </c>
      <c r="G751" t="s">
        <v>3061</v>
      </c>
      <c r="H751">
        <v>4</v>
      </c>
      <c r="I751" t="s">
        <v>3066</v>
      </c>
      <c r="J751">
        <v>518.39</v>
      </c>
    </row>
    <row r="752" spans="1:10" x14ac:dyDescent="0.25">
      <c r="A752" t="s">
        <v>760</v>
      </c>
      <c r="B752" t="s">
        <v>1957</v>
      </c>
      <c r="C752" t="s">
        <v>2401</v>
      </c>
      <c r="D752">
        <v>4</v>
      </c>
      <c r="E752">
        <v>145.41</v>
      </c>
      <c r="F752" t="s">
        <v>2901</v>
      </c>
      <c r="G752" t="s">
        <v>3063</v>
      </c>
      <c r="H752">
        <v>7</v>
      </c>
      <c r="I752" t="s">
        <v>3068</v>
      </c>
      <c r="J752">
        <v>581.64</v>
      </c>
    </row>
    <row r="753" spans="1:10" x14ac:dyDescent="0.25">
      <c r="A753" t="s">
        <v>761</v>
      </c>
      <c r="B753" t="s">
        <v>1958</v>
      </c>
      <c r="C753" t="s">
        <v>2401</v>
      </c>
      <c r="D753">
        <v>2</v>
      </c>
      <c r="E753">
        <v>599.86</v>
      </c>
      <c r="F753" t="s">
        <v>2902</v>
      </c>
      <c r="G753" t="s">
        <v>3064</v>
      </c>
      <c r="H753">
        <v>7</v>
      </c>
      <c r="I753" t="s">
        <v>3069</v>
      </c>
      <c r="J753">
        <v>1199.72</v>
      </c>
    </row>
    <row r="754" spans="1:10" x14ac:dyDescent="0.25">
      <c r="A754" t="s">
        <v>762</v>
      </c>
      <c r="B754" t="s">
        <v>1959</v>
      </c>
      <c r="C754" t="s">
        <v>2400</v>
      </c>
      <c r="D754">
        <v>4</v>
      </c>
      <c r="E754">
        <v>429.37</v>
      </c>
      <c r="F754" t="s">
        <v>2644</v>
      </c>
      <c r="G754" t="s">
        <v>3063</v>
      </c>
      <c r="H754">
        <v>8</v>
      </c>
      <c r="I754" t="s">
        <v>3070</v>
      </c>
      <c r="J754">
        <v>1717.48</v>
      </c>
    </row>
    <row r="755" spans="1:10" x14ac:dyDescent="0.25">
      <c r="A755" t="s">
        <v>763</v>
      </c>
      <c r="B755" t="s">
        <v>1960</v>
      </c>
      <c r="C755" t="s">
        <v>2400</v>
      </c>
      <c r="D755">
        <v>2</v>
      </c>
      <c r="E755">
        <v>241.49</v>
      </c>
      <c r="F755" t="s">
        <v>2903</v>
      </c>
      <c r="G755" t="s">
        <v>3061</v>
      </c>
      <c r="H755">
        <v>7</v>
      </c>
      <c r="I755" t="s">
        <v>3066</v>
      </c>
      <c r="J755">
        <v>482.98</v>
      </c>
    </row>
    <row r="756" spans="1:10" x14ac:dyDescent="0.25">
      <c r="A756" t="s">
        <v>764</v>
      </c>
      <c r="B756" t="s">
        <v>1961</v>
      </c>
      <c r="C756" t="s">
        <v>2403</v>
      </c>
      <c r="D756">
        <v>2</v>
      </c>
      <c r="E756">
        <v>452.05</v>
      </c>
      <c r="F756" t="s">
        <v>2904</v>
      </c>
      <c r="G756" t="s">
        <v>3063</v>
      </c>
      <c r="H756">
        <v>3</v>
      </c>
      <c r="I756" t="s">
        <v>3068</v>
      </c>
      <c r="J756">
        <v>904.1</v>
      </c>
    </row>
    <row r="757" spans="1:10" x14ac:dyDescent="0.25">
      <c r="A757" t="s">
        <v>765</v>
      </c>
      <c r="B757" t="s">
        <v>1962</v>
      </c>
      <c r="C757" t="s">
        <v>2405</v>
      </c>
      <c r="D757">
        <v>3</v>
      </c>
      <c r="E757">
        <v>336.71</v>
      </c>
      <c r="F757" t="s">
        <v>2905</v>
      </c>
      <c r="G757" t="s">
        <v>3063</v>
      </c>
      <c r="H757">
        <v>4</v>
      </c>
      <c r="I757" t="s">
        <v>3068</v>
      </c>
      <c r="J757">
        <v>1010.13</v>
      </c>
    </row>
    <row r="758" spans="1:10" x14ac:dyDescent="0.25">
      <c r="A758" t="s">
        <v>766</v>
      </c>
      <c r="B758" t="s">
        <v>1963</v>
      </c>
      <c r="C758" t="s">
        <v>2400</v>
      </c>
      <c r="D758">
        <v>1</v>
      </c>
      <c r="E758">
        <v>283.69</v>
      </c>
      <c r="F758" t="s">
        <v>2460</v>
      </c>
      <c r="G758" t="s">
        <v>3064</v>
      </c>
      <c r="H758">
        <v>6</v>
      </c>
      <c r="I758" t="s">
        <v>3070</v>
      </c>
      <c r="J758">
        <v>283.69</v>
      </c>
    </row>
    <row r="759" spans="1:10" x14ac:dyDescent="0.25">
      <c r="A759" t="s">
        <v>767</v>
      </c>
      <c r="B759" t="s">
        <v>1964</v>
      </c>
      <c r="C759" t="s">
        <v>2405</v>
      </c>
      <c r="D759">
        <v>1</v>
      </c>
      <c r="E759">
        <v>157.72</v>
      </c>
      <c r="F759" t="s">
        <v>2577</v>
      </c>
      <c r="G759" t="s">
        <v>3061</v>
      </c>
      <c r="H759">
        <v>2</v>
      </c>
      <c r="I759" t="s">
        <v>3070</v>
      </c>
      <c r="J759">
        <v>157.72</v>
      </c>
    </row>
    <row r="760" spans="1:10" x14ac:dyDescent="0.25">
      <c r="A760" t="s">
        <v>768</v>
      </c>
      <c r="B760" t="s">
        <v>1965</v>
      </c>
      <c r="C760" t="s">
        <v>2401</v>
      </c>
      <c r="D760">
        <v>3</v>
      </c>
      <c r="E760">
        <v>624.84</v>
      </c>
      <c r="F760" t="s">
        <v>2475</v>
      </c>
      <c r="G760" t="s">
        <v>3063</v>
      </c>
      <c r="H760">
        <v>8</v>
      </c>
      <c r="I760" t="s">
        <v>3069</v>
      </c>
      <c r="J760">
        <v>1874.52</v>
      </c>
    </row>
    <row r="761" spans="1:10" x14ac:dyDescent="0.25">
      <c r="A761" t="s">
        <v>769</v>
      </c>
      <c r="B761" t="s">
        <v>1966</v>
      </c>
      <c r="C761" t="s">
        <v>2405</v>
      </c>
      <c r="D761">
        <v>3</v>
      </c>
      <c r="E761">
        <v>308.01</v>
      </c>
      <c r="F761" t="s">
        <v>2906</v>
      </c>
      <c r="G761" t="s">
        <v>3065</v>
      </c>
      <c r="H761">
        <v>3</v>
      </c>
      <c r="I761" t="s">
        <v>3069</v>
      </c>
      <c r="J761">
        <v>924.03</v>
      </c>
    </row>
    <row r="762" spans="1:10" x14ac:dyDescent="0.25">
      <c r="A762" t="s">
        <v>770</v>
      </c>
      <c r="B762" t="s">
        <v>1967</v>
      </c>
      <c r="C762" t="s">
        <v>2405</v>
      </c>
      <c r="D762">
        <v>1</v>
      </c>
      <c r="E762">
        <v>39.56</v>
      </c>
      <c r="F762" t="s">
        <v>2566</v>
      </c>
      <c r="G762" t="s">
        <v>3061</v>
      </c>
      <c r="H762">
        <v>5</v>
      </c>
      <c r="I762" t="s">
        <v>3070</v>
      </c>
      <c r="J762">
        <v>39.56</v>
      </c>
    </row>
    <row r="763" spans="1:10" x14ac:dyDescent="0.25">
      <c r="A763" t="s">
        <v>771</v>
      </c>
      <c r="B763" t="s">
        <v>1968</v>
      </c>
      <c r="C763" t="s">
        <v>2405</v>
      </c>
      <c r="D763">
        <v>4</v>
      </c>
      <c r="E763">
        <v>37.76</v>
      </c>
      <c r="F763" t="s">
        <v>2907</v>
      </c>
      <c r="G763" t="s">
        <v>3061</v>
      </c>
      <c r="H763">
        <v>7</v>
      </c>
      <c r="I763" t="s">
        <v>3070</v>
      </c>
      <c r="J763">
        <v>151.04</v>
      </c>
    </row>
    <row r="764" spans="1:10" x14ac:dyDescent="0.25">
      <c r="A764" t="s">
        <v>772</v>
      </c>
      <c r="B764" t="s">
        <v>1969</v>
      </c>
      <c r="C764" t="s">
        <v>2400</v>
      </c>
      <c r="D764">
        <v>3</v>
      </c>
      <c r="E764">
        <v>76.959999999999994</v>
      </c>
      <c r="F764" t="s">
        <v>2490</v>
      </c>
      <c r="G764" t="s">
        <v>3065</v>
      </c>
      <c r="H764">
        <v>8</v>
      </c>
      <c r="I764" t="s">
        <v>3068</v>
      </c>
      <c r="J764">
        <v>230.88</v>
      </c>
    </row>
    <row r="765" spans="1:10" x14ac:dyDescent="0.25">
      <c r="A765" t="s">
        <v>773</v>
      </c>
      <c r="B765" t="s">
        <v>1970</v>
      </c>
      <c r="C765" t="s">
        <v>2404</v>
      </c>
      <c r="D765">
        <v>1</v>
      </c>
      <c r="E765">
        <v>569.96</v>
      </c>
      <c r="F765" t="s">
        <v>2497</v>
      </c>
      <c r="G765" t="s">
        <v>3062</v>
      </c>
      <c r="H765">
        <v>4</v>
      </c>
      <c r="I765" t="s">
        <v>3068</v>
      </c>
      <c r="J765">
        <v>569.96</v>
      </c>
    </row>
    <row r="766" spans="1:10" x14ac:dyDescent="0.25">
      <c r="A766" t="s">
        <v>774</v>
      </c>
      <c r="B766" t="s">
        <v>1971</v>
      </c>
      <c r="C766" t="s">
        <v>2404</v>
      </c>
      <c r="D766">
        <v>5</v>
      </c>
      <c r="E766">
        <v>627.42999999999995</v>
      </c>
      <c r="F766" t="s">
        <v>2561</v>
      </c>
      <c r="G766" t="s">
        <v>3063</v>
      </c>
      <c r="H766">
        <v>10</v>
      </c>
      <c r="I766" t="s">
        <v>3068</v>
      </c>
      <c r="J766">
        <v>3137.15</v>
      </c>
    </row>
    <row r="767" spans="1:10" x14ac:dyDescent="0.25">
      <c r="A767" t="s">
        <v>775</v>
      </c>
      <c r="B767" t="s">
        <v>1972</v>
      </c>
      <c r="C767" t="s">
        <v>2404</v>
      </c>
      <c r="D767">
        <v>2</v>
      </c>
      <c r="E767">
        <v>534.91</v>
      </c>
      <c r="F767" t="s">
        <v>2884</v>
      </c>
      <c r="G767" t="s">
        <v>3061</v>
      </c>
      <c r="H767">
        <v>5</v>
      </c>
      <c r="I767" t="s">
        <v>3070</v>
      </c>
      <c r="J767">
        <v>1069.82</v>
      </c>
    </row>
    <row r="768" spans="1:10" x14ac:dyDescent="0.25">
      <c r="A768" t="s">
        <v>776</v>
      </c>
      <c r="B768" t="s">
        <v>1973</v>
      </c>
      <c r="C768" t="s">
        <v>2403</v>
      </c>
      <c r="D768">
        <v>2</v>
      </c>
      <c r="E768">
        <v>278.88</v>
      </c>
      <c r="F768" t="s">
        <v>2700</v>
      </c>
      <c r="G768" t="s">
        <v>3061</v>
      </c>
      <c r="H768">
        <v>3</v>
      </c>
      <c r="I768" t="s">
        <v>3067</v>
      </c>
      <c r="J768">
        <v>557.76</v>
      </c>
    </row>
    <row r="769" spans="1:10" x14ac:dyDescent="0.25">
      <c r="A769" t="s">
        <v>777</v>
      </c>
      <c r="B769" t="s">
        <v>1974</v>
      </c>
      <c r="C769" t="s">
        <v>2401</v>
      </c>
      <c r="D769">
        <v>2</v>
      </c>
      <c r="E769">
        <v>323.22000000000003</v>
      </c>
      <c r="F769" t="s">
        <v>2908</v>
      </c>
      <c r="G769" t="s">
        <v>3063</v>
      </c>
      <c r="H769">
        <v>7</v>
      </c>
      <c r="I769" t="s">
        <v>3066</v>
      </c>
      <c r="J769">
        <v>646.44000000000005</v>
      </c>
    </row>
    <row r="770" spans="1:10" x14ac:dyDescent="0.25">
      <c r="A770" t="s">
        <v>778</v>
      </c>
      <c r="B770" t="s">
        <v>1975</v>
      </c>
      <c r="C770" t="s">
        <v>2401</v>
      </c>
      <c r="D770">
        <v>5</v>
      </c>
      <c r="E770">
        <v>653.46</v>
      </c>
      <c r="F770" t="s">
        <v>2909</v>
      </c>
      <c r="G770" t="s">
        <v>3065</v>
      </c>
      <c r="H770">
        <v>9</v>
      </c>
      <c r="I770" t="s">
        <v>3068</v>
      </c>
      <c r="J770">
        <v>3267.3</v>
      </c>
    </row>
    <row r="771" spans="1:10" x14ac:dyDescent="0.25">
      <c r="A771" t="s">
        <v>779</v>
      </c>
      <c r="B771" t="s">
        <v>1976</v>
      </c>
      <c r="C771" t="s">
        <v>2403</v>
      </c>
      <c r="D771">
        <v>4</v>
      </c>
      <c r="E771">
        <v>678.55</v>
      </c>
      <c r="F771" t="s">
        <v>2434</v>
      </c>
      <c r="G771" t="s">
        <v>3065</v>
      </c>
      <c r="H771">
        <v>5</v>
      </c>
      <c r="I771" t="s">
        <v>3068</v>
      </c>
      <c r="J771">
        <v>2714.2</v>
      </c>
    </row>
    <row r="772" spans="1:10" x14ac:dyDescent="0.25">
      <c r="A772" t="s">
        <v>780</v>
      </c>
      <c r="B772" t="s">
        <v>1977</v>
      </c>
      <c r="C772" t="s">
        <v>2405</v>
      </c>
      <c r="D772">
        <v>1</v>
      </c>
      <c r="E772">
        <v>314.38</v>
      </c>
      <c r="F772" t="s">
        <v>2753</v>
      </c>
      <c r="G772" t="s">
        <v>3062</v>
      </c>
      <c r="H772">
        <v>6</v>
      </c>
      <c r="I772" t="s">
        <v>3070</v>
      </c>
      <c r="J772">
        <v>314.38</v>
      </c>
    </row>
    <row r="773" spans="1:10" x14ac:dyDescent="0.25">
      <c r="A773" t="s">
        <v>781</v>
      </c>
      <c r="B773" t="s">
        <v>1978</v>
      </c>
      <c r="C773" t="s">
        <v>2400</v>
      </c>
      <c r="D773">
        <v>3</v>
      </c>
      <c r="E773">
        <v>692.44</v>
      </c>
      <c r="F773" t="s">
        <v>2720</v>
      </c>
      <c r="G773" t="s">
        <v>3061</v>
      </c>
      <c r="H773">
        <v>8</v>
      </c>
      <c r="I773" t="s">
        <v>3070</v>
      </c>
      <c r="J773">
        <v>2077.3200000000002</v>
      </c>
    </row>
    <row r="774" spans="1:10" x14ac:dyDescent="0.25">
      <c r="A774" t="s">
        <v>782</v>
      </c>
      <c r="B774" t="s">
        <v>1979</v>
      </c>
      <c r="C774" t="s">
        <v>2399</v>
      </c>
      <c r="D774">
        <v>1</v>
      </c>
      <c r="E774">
        <v>604.87</v>
      </c>
      <c r="F774" t="s">
        <v>2910</v>
      </c>
      <c r="G774" t="s">
        <v>3062</v>
      </c>
      <c r="H774">
        <v>4</v>
      </c>
      <c r="I774" t="s">
        <v>3066</v>
      </c>
      <c r="J774">
        <v>604.87</v>
      </c>
    </row>
    <row r="775" spans="1:10" x14ac:dyDescent="0.25">
      <c r="A775" t="s">
        <v>783</v>
      </c>
      <c r="B775" t="s">
        <v>1980</v>
      </c>
      <c r="C775" t="s">
        <v>2400</v>
      </c>
      <c r="D775">
        <v>2</v>
      </c>
      <c r="E775">
        <v>512.33000000000004</v>
      </c>
      <c r="F775" t="s">
        <v>2911</v>
      </c>
      <c r="G775" t="s">
        <v>3065</v>
      </c>
      <c r="H775">
        <v>7</v>
      </c>
      <c r="I775" t="s">
        <v>3069</v>
      </c>
      <c r="J775">
        <v>1024.6600000000001</v>
      </c>
    </row>
    <row r="776" spans="1:10" x14ac:dyDescent="0.25">
      <c r="A776" t="s">
        <v>784</v>
      </c>
      <c r="B776" t="s">
        <v>1981</v>
      </c>
      <c r="C776" t="s">
        <v>2402</v>
      </c>
      <c r="D776">
        <v>3</v>
      </c>
      <c r="E776">
        <v>20.54</v>
      </c>
      <c r="F776" t="s">
        <v>2912</v>
      </c>
      <c r="G776" t="s">
        <v>3063</v>
      </c>
      <c r="H776">
        <v>3</v>
      </c>
      <c r="I776" t="s">
        <v>3066</v>
      </c>
      <c r="J776">
        <v>61.62</v>
      </c>
    </row>
    <row r="777" spans="1:10" x14ac:dyDescent="0.25">
      <c r="A777" t="s">
        <v>785</v>
      </c>
      <c r="B777" t="s">
        <v>1982</v>
      </c>
      <c r="C777" t="s">
        <v>2400</v>
      </c>
      <c r="D777">
        <v>2</v>
      </c>
      <c r="E777">
        <v>625.22</v>
      </c>
      <c r="F777" t="s">
        <v>2427</v>
      </c>
      <c r="G777" t="s">
        <v>3062</v>
      </c>
      <c r="H777">
        <v>5</v>
      </c>
      <c r="I777" t="s">
        <v>3070</v>
      </c>
      <c r="J777">
        <v>1250.44</v>
      </c>
    </row>
    <row r="778" spans="1:10" x14ac:dyDescent="0.25">
      <c r="A778" t="s">
        <v>786</v>
      </c>
      <c r="B778" t="s">
        <v>1983</v>
      </c>
      <c r="C778" t="s">
        <v>2401</v>
      </c>
      <c r="D778">
        <v>1</v>
      </c>
      <c r="E778">
        <v>21.19</v>
      </c>
      <c r="F778" t="s">
        <v>2913</v>
      </c>
      <c r="G778" t="s">
        <v>3065</v>
      </c>
      <c r="H778">
        <v>5</v>
      </c>
      <c r="I778" t="s">
        <v>3070</v>
      </c>
      <c r="J778">
        <v>21.19</v>
      </c>
    </row>
    <row r="779" spans="1:10" x14ac:dyDescent="0.25">
      <c r="A779" t="s">
        <v>787</v>
      </c>
      <c r="B779" t="s">
        <v>1984</v>
      </c>
      <c r="C779" t="s">
        <v>2402</v>
      </c>
      <c r="D779">
        <v>5</v>
      </c>
      <c r="E779">
        <v>64.489999999999995</v>
      </c>
      <c r="F779" t="s">
        <v>2428</v>
      </c>
      <c r="G779" t="s">
        <v>3062</v>
      </c>
      <c r="H779">
        <v>7</v>
      </c>
      <c r="I779" t="s">
        <v>3069</v>
      </c>
      <c r="J779">
        <v>322.45</v>
      </c>
    </row>
    <row r="780" spans="1:10" x14ac:dyDescent="0.25">
      <c r="A780" t="s">
        <v>788</v>
      </c>
      <c r="B780" t="s">
        <v>1985</v>
      </c>
      <c r="C780" t="s">
        <v>2404</v>
      </c>
      <c r="D780">
        <v>4</v>
      </c>
      <c r="E780">
        <v>246.85</v>
      </c>
      <c r="F780" t="s">
        <v>2914</v>
      </c>
      <c r="G780" t="s">
        <v>3063</v>
      </c>
      <c r="H780">
        <v>8</v>
      </c>
      <c r="I780" t="s">
        <v>3070</v>
      </c>
      <c r="J780">
        <v>987.4</v>
      </c>
    </row>
    <row r="781" spans="1:10" x14ac:dyDescent="0.25">
      <c r="A781" t="s">
        <v>789</v>
      </c>
      <c r="B781" t="s">
        <v>1986</v>
      </c>
      <c r="C781" t="s">
        <v>2400</v>
      </c>
      <c r="D781">
        <v>3</v>
      </c>
      <c r="E781">
        <v>588.74</v>
      </c>
      <c r="F781" t="s">
        <v>2915</v>
      </c>
      <c r="G781" t="s">
        <v>3061</v>
      </c>
      <c r="H781">
        <v>8</v>
      </c>
      <c r="I781" t="s">
        <v>3068</v>
      </c>
      <c r="J781">
        <v>1766.22</v>
      </c>
    </row>
    <row r="782" spans="1:10" x14ac:dyDescent="0.25">
      <c r="A782" t="s">
        <v>790</v>
      </c>
      <c r="B782" t="s">
        <v>1987</v>
      </c>
      <c r="C782" t="s">
        <v>2404</v>
      </c>
      <c r="D782">
        <v>4</v>
      </c>
      <c r="E782">
        <v>184.48</v>
      </c>
      <c r="F782" t="s">
        <v>2751</v>
      </c>
      <c r="G782" t="s">
        <v>3062</v>
      </c>
      <c r="H782">
        <v>4</v>
      </c>
      <c r="I782" t="s">
        <v>3070</v>
      </c>
      <c r="J782">
        <v>737.92</v>
      </c>
    </row>
    <row r="783" spans="1:10" x14ac:dyDescent="0.25">
      <c r="A783" t="s">
        <v>791</v>
      </c>
      <c r="B783" t="s">
        <v>1988</v>
      </c>
      <c r="C783" t="s">
        <v>2400</v>
      </c>
      <c r="D783">
        <v>5</v>
      </c>
      <c r="E783">
        <v>524.26</v>
      </c>
      <c r="F783" t="s">
        <v>2411</v>
      </c>
      <c r="G783" t="s">
        <v>3064</v>
      </c>
      <c r="H783">
        <v>5</v>
      </c>
      <c r="I783" t="s">
        <v>3067</v>
      </c>
      <c r="J783">
        <v>2621.3000000000002</v>
      </c>
    </row>
    <row r="784" spans="1:10" x14ac:dyDescent="0.25">
      <c r="A784" t="s">
        <v>792</v>
      </c>
      <c r="B784" t="s">
        <v>1989</v>
      </c>
      <c r="C784" t="s">
        <v>2399</v>
      </c>
      <c r="D784">
        <v>2</v>
      </c>
      <c r="E784">
        <v>493.63</v>
      </c>
      <c r="F784" t="s">
        <v>2820</v>
      </c>
      <c r="G784" t="s">
        <v>3062</v>
      </c>
      <c r="H784">
        <v>6</v>
      </c>
      <c r="I784" t="s">
        <v>3067</v>
      </c>
      <c r="J784">
        <v>987.26</v>
      </c>
    </row>
    <row r="785" spans="1:10" x14ac:dyDescent="0.25">
      <c r="A785" t="s">
        <v>793</v>
      </c>
      <c r="B785" t="s">
        <v>1990</v>
      </c>
      <c r="C785" t="s">
        <v>2403</v>
      </c>
      <c r="D785">
        <v>1</v>
      </c>
      <c r="E785">
        <v>438.34</v>
      </c>
      <c r="F785" t="s">
        <v>2884</v>
      </c>
      <c r="G785" t="s">
        <v>3064</v>
      </c>
      <c r="H785">
        <v>5</v>
      </c>
      <c r="I785" t="s">
        <v>3069</v>
      </c>
      <c r="J785">
        <v>438.34</v>
      </c>
    </row>
    <row r="786" spans="1:10" x14ac:dyDescent="0.25">
      <c r="A786" t="s">
        <v>794</v>
      </c>
      <c r="B786" t="s">
        <v>1991</v>
      </c>
      <c r="C786" t="s">
        <v>2404</v>
      </c>
      <c r="D786">
        <v>1</v>
      </c>
      <c r="E786">
        <v>325.81</v>
      </c>
      <c r="F786" t="s">
        <v>2455</v>
      </c>
      <c r="G786" t="s">
        <v>3063</v>
      </c>
      <c r="H786">
        <v>1</v>
      </c>
      <c r="I786" t="s">
        <v>3067</v>
      </c>
      <c r="J786">
        <v>325.81</v>
      </c>
    </row>
    <row r="787" spans="1:10" x14ac:dyDescent="0.25">
      <c r="A787" t="s">
        <v>795</v>
      </c>
      <c r="B787" t="s">
        <v>1992</v>
      </c>
      <c r="C787" t="s">
        <v>2402</v>
      </c>
      <c r="D787">
        <v>1</v>
      </c>
      <c r="E787">
        <v>176.1</v>
      </c>
      <c r="F787" t="s">
        <v>2916</v>
      </c>
      <c r="G787" t="s">
        <v>3063</v>
      </c>
      <c r="H787">
        <v>1</v>
      </c>
      <c r="I787" t="s">
        <v>3066</v>
      </c>
      <c r="J787">
        <v>176.1</v>
      </c>
    </row>
    <row r="788" spans="1:10" x14ac:dyDescent="0.25">
      <c r="A788" t="s">
        <v>796</v>
      </c>
      <c r="B788" t="s">
        <v>1993</v>
      </c>
      <c r="C788" t="s">
        <v>2402</v>
      </c>
      <c r="D788">
        <v>5</v>
      </c>
      <c r="E788">
        <v>45.31</v>
      </c>
      <c r="F788" t="s">
        <v>2917</v>
      </c>
      <c r="G788" t="s">
        <v>3062</v>
      </c>
      <c r="H788">
        <v>8</v>
      </c>
      <c r="I788" t="s">
        <v>3067</v>
      </c>
      <c r="J788">
        <v>226.55</v>
      </c>
    </row>
    <row r="789" spans="1:10" x14ac:dyDescent="0.25">
      <c r="A789" t="s">
        <v>797</v>
      </c>
      <c r="B789" t="s">
        <v>1994</v>
      </c>
      <c r="C789" t="s">
        <v>2405</v>
      </c>
      <c r="D789">
        <v>4</v>
      </c>
      <c r="E789">
        <v>221.96</v>
      </c>
      <c r="F789" t="s">
        <v>2918</v>
      </c>
      <c r="G789" t="s">
        <v>3065</v>
      </c>
      <c r="H789">
        <v>7</v>
      </c>
      <c r="I789" t="s">
        <v>3070</v>
      </c>
      <c r="J789">
        <v>887.84</v>
      </c>
    </row>
    <row r="790" spans="1:10" x14ac:dyDescent="0.25">
      <c r="A790" t="s">
        <v>798</v>
      </c>
      <c r="B790" t="s">
        <v>1995</v>
      </c>
      <c r="C790" t="s">
        <v>2402</v>
      </c>
      <c r="D790">
        <v>2</v>
      </c>
      <c r="E790">
        <v>601.42999999999995</v>
      </c>
      <c r="F790" t="s">
        <v>2919</v>
      </c>
      <c r="G790" t="s">
        <v>3062</v>
      </c>
      <c r="H790">
        <v>5</v>
      </c>
      <c r="I790" t="s">
        <v>3066</v>
      </c>
      <c r="J790">
        <v>1202.8599999999999</v>
      </c>
    </row>
    <row r="791" spans="1:10" x14ac:dyDescent="0.25">
      <c r="A791" t="s">
        <v>799</v>
      </c>
      <c r="B791" t="s">
        <v>1996</v>
      </c>
      <c r="C791" t="s">
        <v>2401</v>
      </c>
      <c r="D791">
        <v>5</v>
      </c>
      <c r="E791">
        <v>691.28</v>
      </c>
      <c r="F791" t="s">
        <v>2920</v>
      </c>
      <c r="G791" t="s">
        <v>3062</v>
      </c>
      <c r="H791">
        <v>10</v>
      </c>
      <c r="I791" t="s">
        <v>3068</v>
      </c>
      <c r="J791">
        <v>3456.4</v>
      </c>
    </row>
    <row r="792" spans="1:10" x14ac:dyDescent="0.25">
      <c r="A792" t="s">
        <v>800</v>
      </c>
      <c r="B792" t="s">
        <v>1997</v>
      </c>
      <c r="C792" t="s">
        <v>2404</v>
      </c>
      <c r="D792">
        <v>4</v>
      </c>
      <c r="E792">
        <v>417.89</v>
      </c>
      <c r="F792" t="s">
        <v>2921</v>
      </c>
      <c r="G792" t="s">
        <v>3064</v>
      </c>
      <c r="H792">
        <v>4</v>
      </c>
      <c r="I792" t="s">
        <v>3070</v>
      </c>
      <c r="J792">
        <v>1671.56</v>
      </c>
    </row>
    <row r="793" spans="1:10" x14ac:dyDescent="0.25">
      <c r="A793" t="s">
        <v>801</v>
      </c>
      <c r="B793" t="s">
        <v>1998</v>
      </c>
      <c r="C793" t="s">
        <v>2402</v>
      </c>
      <c r="D793">
        <v>4</v>
      </c>
      <c r="E793">
        <v>409.28</v>
      </c>
      <c r="F793" t="s">
        <v>2430</v>
      </c>
      <c r="G793" t="s">
        <v>3065</v>
      </c>
      <c r="H793">
        <v>8</v>
      </c>
      <c r="I793" t="s">
        <v>3068</v>
      </c>
      <c r="J793">
        <v>1637.12</v>
      </c>
    </row>
    <row r="794" spans="1:10" x14ac:dyDescent="0.25">
      <c r="A794" t="s">
        <v>802</v>
      </c>
      <c r="B794" t="s">
        <v>1999</v>
      </c>
      <c r="C794" t="s">
        <v>2405</v>
      </c>
      <c r="D794">
        <v>2</v>
      </c>
      <c r="E794">
        <v>356.35</v>
      </c>
      <c r="F794" t="s">
        <v>2922</v>
      </c>
      <c r="G794" t="s">
        <v>3061</v>
      </c>
      <c r="H794">
        <v>6</v>
      </c>
      <c r="I794" t="s">
        <v>3069</v>
      </c>
      <c r="J794">
        <v>712.7</v>
      </c>
    </row>
    <row r="795" spans="1:10" x14ac:dyDescent="0.25">
      <c r="A795" t="s">
        <v>803</v>
      </c>
      <c r="B795" t="s">
        <v>2000</v>
      </c>
      <c r="C795" t="s">
        <v>2402</v>
      </c>
      <c r="D795">
        <v>5</v>
      </c>
      <c r="E795">
        <v>170.22</v>
      </c>
      <c r="F795" t="s">
        <v>2741</v>
      </c>
      <c r="G795" t="s">
        <v>3061</v>
      </c>
      <c r="H795">
        <v>8</v>
      </c>
      <c r="I795" t="s">
        <v>3067</v>
      </c>
      <c r="J795">
        <v>851.1</v>
      </c>
    </row>
    <row r="796" spans="1:10" x14ac:dyDescent="0.25">
      <c r="A796" t="s">
        <v>804</v>
      </c>
      <c r="B796" t="s">
        <v>2001</v>
      </c>
      <c r="C796" t="s">
        <v>2403</v>
      </c>
      <c r="D796">
        <v>4</v>
      </c>
      <c r="E796">
        <v>384.85</v>
      </c>
      <c r="F796" t="s">
        <v>2923</v>
      </c>
      <c r="G796" t="s">
        <v>3062</v>
      </c>
      <c r="H796">
        <v>9</v>
      </c>
      <c r="I796" t="s">
        <v>3066</v>
      </c>
      <c r="J796">
        <v>1539.4</v>
      </c>
    </row>
    <row r="797" spans="1:10" x14ac:dyDescent="0.25">
      <c r="A797" t="s">
        <v>805</v>
      </c>
      <c r="B797" t="s">
        <v>2002</v>
      </c>
      <c r="C797" t="s">
        <v>2404</v>
      </c>
      <c r="D797">
        <v>4</v>
      </c>
      <c r="E797">
        <v>115.77</v>
      </c>
      <c r="F797" t="s">
        <v>2924</v>
      </c>
      <c r="G797" t="s">
        <v>3062</v>
      </c>
      <c r="H797">
        <v>7</v>
      </c>
      <c r="I797" t="s">
        <v>3066</v>
      </c>
      <c r="J797">
        <v>463.08</v>
      </c>
    </row>
    <row r="798" spans="1:10" x14ac:dyDescent="0.25">
      <c r="A798" t="s">
        <v>806</v>
      </c>
      <c r="B798" t="s">
        <v>2003</v>
      </c>
      <c r="C798" t="s">
        <v>2400</v>
      </c>
      <c r="D798">
        <v>3</v>
      </c>
      <c r="E798">
        <v>579.54999999999995</v>
      </c>
      <c r="F798" t="s">
        <v>2595</v>
      </c>
      <c r="G798" t="s">
        <v>3064</v>
      </c>
      <c r="H798">
        <v>8</v>
      </c>
      <c r="I798" t="s">
        <v>3069</v>
      </c>
      <c r="J798">
        <v>1738.65</v>
      </c>
    </row>
    <row r="799" spans="1:10" x14ac:dyDescent="0.25">
      <c r="A799" t="s">
        <v>807</v>
      </c>
      <c r="B799" t="s">
        <v>2004</v>
      </c>
      <c r="C799" t="s">
        <v>2404</v>
      </c>
      <c r="D799">
        <v>2</v>
      </c>
      <c r="E799">
        <v>438.76</v>
      </c>
      <c r="F799" t="s">
        <v>2925</v>
      </c>
      <c r="G799" t="s">
        <v>3061</v>
      </c>
      <c r="H799">
        <v>2</v>
      </c>
      <c r="I799" t="s">
        <v>3069</v>
      </c>
      <c r="J799">
        <v>877.52</v>
      </c>
    </row>
    <row r="800" spans="1:10" x14ac:dyDescent="0.25">
      <c r="A800" t="s">
        <v>808</v>
      </c>
      <c r="B800" t="s">
        <v>2005</v>
      </c>
      <c r="C800" t="s">
        <v>2400</v>
      </c>
      <c r="D800">
        <v>5</v>
      </c>
      <c r="E800">
        <v>488.35</v>
      </c>
      <c r="F800" t="s">
        <v>2668</v>
      </c>
      <c r="G800" t="s">
        <v>3061</v>
      </c>
      <c r="H800">
        <v>9</v>
      </c>
      <c r="I800" t="s">
        <v>3068</v>
      </c>
      <c r="J800">
        <v>2441.75</v>
      </c>
    </row>
    <row r="801" spans="1:10" x14ac:dyDescent="0.25">
      <c r="A801" t="s">
        <v>809</v>
      </c>
      <c r="B801" t="s">
        <v>2006</v>
      </c>
      <c r="C801" t="s">
        <v>2404</v>
      </c>
      <c r="D801">
        <v>4</v>
      </c>
      <c r="E801">
        <v>328.56</v>
      </c>
      <c r="F801" t="s">
        <v>2634</v>
      </c>
      <c r="G801" t="s">
        <v>3061</v>
      </c>
      <c r="H801">
        <v>4</v>
      </c>
      <c r="I801" t="s">
        <v>3068</v>
      </c>
      <c r="J801">
        <v>1314.24</v>
      </c>
    </row>
    <row r="802" spans="1:10" x14ac:dyDescent="0.25">
      <c r="A802" t="s">
        <v>810</v>
      </c>
      <c r="B802" t="s">
        <v>2007</v>
      </c>
      <c r="C802" t="s">
        <v>2401</v>
      </c>
      <c r="D802">
        <v>1</v>
      </c>
      <c r="E802">
        <v>68.39</v>
      </c>
      <c r="F802" t="s">
        <v>2926</v>
      </c>
      <c r="G802" t="s">
        <v>3062</v>
      </c>
      <c r="H802">
        <v>3</v>
      </c>
      <c r="I802" t="s">
        <v>3069</v>
      </c>
      <c r="J802">
        <v>68.39</v>
      </c>
    </row>
    <row r="803" spans="1:10" x14ac:dyDescent="0.25">
      <c r="A803" t="s">
        <v>811</v>
      </c>
      <c r="B803" t="s">
        <v>1237</v>
      </c>
      <c r="C803" t="s">
        <v>2403</v>
      </c>
      <c r="D803">
        <v>4</v>
      </c>
      <c r="E803">
        <v>595.62</v>
      </c>
      <c r="F803" t="s">
        <v>2927</v>
      </c>
      <c r="G803" t="s">
        <v>3061</v>
      </c>
      <c r="H803">
        <v>8</v>
      </c>
      <c r="I803" t="s">
        <v>3069</v>
      </c>
      <c r="J803">
        <v>2382.48</v>
      </c>
    </row>
    <row r="804" spans="1:10" x14ac:dyDescent="0.25">
      <c r="A804" t="s">
        <v>812</v>
      </c>
      <c r="B804" t="s">
        <v>2008</v>
      </c>
      <c r="C804" t="s">
        <v>2402</v>
      </c>
      <c r="D804">
        <v>5</v>
      </c>
      <c r="E804">
        <v>644.64</v>
      </c>
      <c r="F804" t="s">
        <v>2928</v>
      </c>
      <c r="G804" t="s">
        <v>3064</v>
      </c>
      <c r="H804">
        <v>6</v>
      </c>
      <c r="I804" t="s">
        <v>3068</v>
      </c>
      <c r="J804">
        <v>3223.2</v>
      </c>
    </row>
    <row r="805" spans="1:10" x14ac:dyDescent="0.25">
      <c r="A805" t="s">
        <v>813</v>
      </c>
      <c r="B805" t="s">
        <v>2009</v>
      </c>
      <c r="C805" t="s">
        <v>2399</v>
      </c>
      <c r="D805">
        <v>5</v>
      </c>
      <c r="E805">
        <v>397.81</v>
      </c>
      <c r="F805" t="s">
        <v>2450</v>
      </c>
      <c r="G805" t="s">
        <v>3061</v>
      </c>
      <c r="H805">
        <v>5</v>
      </c>
      <c r="I805" t="s">
        <v>3067</v>
      </c>
      <c r="J805">
        <v>1989.05</v>
      </c>
    </row>
    <row r="806" spans="1:10" x14ac:dyDescent="0.25">
      <c r="A806" t="s">
        <v>814</v>
      </c>
      <c r="B806" t="s">
        <v>2010</v>
      </c>
      <c r="C806" t="s">
        <v>2402</v>
      </c>
      <c r="D806">
        <v>3</v>
      </c>
      <c r="E806">
        <v>236.5</v>
      </c>
      <c r="F806" t="s">
        <v>2929</v>
      </c>
      <c r="G806" t="s">
        <v>3062</v>
      </c>
      <c r="H806">
        <v>8</v>
      </c>
      <c r="I806" t="s">
        <v>3068</v>
      </c>
      <c r="J806">
        <v>709.5</v>
      </c>
    </row>
    <row r="807" spans="1:10" x14ac:dyDescent="0.25">
      <c r="A807" t="s">
        <v>815</v>
      </c>
      <c r="B807" t="s">
        <v>2011</v>
      </c>
      <c r="C807" t="s">
        <v>2404</v>
      </c>
      <c r="D807">
        <v>5</v>
      </c>
      <c r="E807">
        <v>472.01</v>
      </c>
      <c r="F807" t="s">
        <v>2930</v>
      </c>
      <c r="G807" t="s">
        <v>3064</v>
      </c>
      <c r="H807">
        <v>10</v>
      </c>
      <c r="I807" t="s">
        <v>3068</v>
      </c>
      <c r="J807">
        <v>2360.0500000000002</v>
      </c>
    </row>
    <row r="808" spans="1:10" x14ac:dyDescent="0.25">
      <c r="A808" t="s">
        <v>816</v>
      </c>
      <c r="B808" t="s">
        <v>2012</v>
      </c>
      <c r="C808" t="s">
        <v>2402</v>
      </c>
      <c r="D808">
        <v>5</v>
      </c>
      <c r="E808">
        <v>253.75</v>
      </c>
      <c r="F808" t="s">
        <v>2646</v>
      </c>
      <c r="G808" t="s">
        <v>3062</v>
      </c>
      <c r="H808">
        <v>9</v>
      </c>
      <c r="I808" t="s">
        <v>3066</v>
      </c>
      <c r="J808">
        <v>1268.75</v>
      </c>
    </row>
    <row r="809" spans="1:10" x14ac:dyDescent="0.25">
      <c r="A809" t="s">
        <v>817</v>
      </c>
      <c r="B809" t="s">
        <v>2013</v>
      </c>
      <c r="C809" t="s">
        <v>2399</v>
      </c>
      <c r="D809">
        <v>3</v>
      </c>
      <c r="E809">
        <v>676.21</v>
      </c>
      <c r="F809" t="s">
        <v>2931</v>
      </c>
      <c r="G809" t="s">
        <v>3062</v>
      </c>
      <c r="H809">
        <v>5</v>
      </c>
      <c r="I809" t="s">
        <v>3070</v>
      </c>
      <c r="J809">
        <v>2028.63</v>
      </c>
    </row>
    <row r="810" spans="1:10" x14ac:dyDescent="0.25">
      <c r="A810" t="s">
        <v>818</v>
      </c>
      <c r="B810" t="s">
        <v>2014</v>
      </c>
      <c r="C810" t="s">
        <v>2405</v>
      </c>
      <c r="D810">
        <v>3</v>
      </c>
      <c r="E810">
        <v>134.05000000000001</v>
      </c>
      <c r="F810" t="s">
        <v>2932</v>
      </c>
      <c r="G810" t="s">
        <v>3063</v>
      </c>
      <c r="H810">
        <v>3</v>
      </c>
      <c r="I810" t="s">
        <v>3070</v>
      </c>
      <c r="J810">
        <v>402.15</v>
      </c>
    </row>
    <row r="811" spans="1:10" x14ac:dyDescent="0.25">
      <c r="A811" t="s">
        <v>819</v>
      </c>
      <c r="B811" t="s">
        <v>2015</v>
      </c>
      <c r="C811" t="s">
        <v>2405</v>
      </c>
      <c r="D811">
        <v>5</v>
      </c>
      <c r="E811">
        <v>217.43</v>
      </c>
      <c r="F811" t="s">
        <v>2466</v>
      </c>
      <c r="G811" t="s">
        <v>3061</v>
      </c>
      <c r="H811">
        <v>10</v>
      </c>
      <c r="I811" t="s">
        <v>3066</v>
      </c>
      <c r="J811">
        <v>1087.1500000000001</v>
      </c>
    </row>
    <row r="812" spans="1:10" x14ac:dyDescent="0.25">
      <c r="A812" t="s">
        <v>820</v>
      </c>
      <c r="B812" t="s">
        <v>2016</v>
      </c>
      <c r="C812" t="s">
        <v>2401</v>
      </c>
      <c r="D812">
        <v>1</v>
      </c>
      <c r="E812">
        <v>553.55999999999995</v>
      </c>
      <c r="F812" t="s">
        <v>2933</v>
      </c>
      <c r="G812" t="s">
        <v>3063</v>
      </c>
      <c r="H812">
        <v>5</v>
      </c>
      <c r="I812" t="s">
        <v>3067</v>
      </c>
      <c r="J812">
        <v>553.55999999999995</v>
      </c>
    </row>
    <row r="813" spans="1:10" x14ac:dyDescent="0.25">
      <c r="A813" t="s">
        <v>821</v>
      </c>
      <c r="B813" t="s">
        <v>2017</v>
      </c>
      <c r="C813" t="s">
        <v>2404</v>
      </c>
      <c r="D813">
        <v>2</v>
      </c>
      <c r="E813">
        <v>28.55</v>
      </c>
      <c r="F813" t="s">
        <v>2903</v>
      </c>
      <c r="G813" t="s">
        <v>3064</v>
      </c>
      <c r="H813">
        <v>7</v>
      </c>
      <c r="I813" t="s">
        <v>3068</v>
      </c>
      <c r="J813">
        <v>57.1</v>
      </c>
    </row>
    <row r="814" spans="1:10" x14ac:dyDescent="0.25">
      <c r="A814" t="s">
        <v>822</v>
      </c>
      <c r="B814" t="s">
        <v>2018</v>
      </c>
      <c r="C814" t="s">
        <v>2400</v>
      </c>
      <c r="D814">
        <v>2</v>
      </c>
      <c r="E814">
        <v>255.26</v>
      </c>
      <c r="F814" t="s">
        <v>2634</v>
      </c>
      <c r="G814" t="s">
        <v>3063</v>
      </c>
      <c r="H814">
        <v>6</v>
      </c>
      <c r="I814" t="s">
        <v>3070</v>
      </c>
      <c r="J814">
        <v>510.52</v>
      </c>
    </row>
    <row r="815" spans="1:10" x14ac:dyDescent="0.25">
      <c r="A815" t="s">
        <v>823</v>
      </c>
      <c r="B815" t="s">
        <v>2019</v>
      </c>
      <c r="C815" t="s">
        <v>2404</v>
      </c>
      <c r="D815">
        <v>5</v>
      </c>
      <c r="E815">
        <v>292.54000000000002</v>
      </c>
      <c r="F815" t="s">
        <v>2645</v>
      </c>
      <c r="G815" t="s">
        <v>3061</v>
      </c>
      <c r="H815">
        <v>8</v>
      </c>
      <c r="I815" t="s">
        <v>3068</v>
      </c>
      <c r="J815">
        <v>1462.7</v>
      </c>
    </row>
    <row r="816" spans="1:10" x14ac:dyDescent="0.25">
      <c r="A816" t="s">
        <v>824</v>
      </c>
      <c r="B816" t="s">
        <v>2020</v>
      </c>
      <c r="C816" t="s">
        <v>2402</v>
      </c>
      <c r="D816">
        <v>4</v>
      </c>
      <c r="E816">
        <v>147.51</v>
      </c>
      <c r="F816" t="s">
        <v>2934</v>
      </c>
      <c r="G816" t="s">
        <v>3061</v>
      </c>
      <c r="H816">
        <v>4</v>
      </c>
      <c r="I816" t="s">
        <v>3066</v>
      </c>
      <c r="J816">
        <v>590.04</v>
      </c>
    </row>
    <row r="817" spans="1:10" x14ac:dyDescent="0.25">
      <c r="A817" t="s">
        <v>825</v>
      </c>
      <c r="B817" t="s">
        <v>2021</v>
      </c>
      <c r="C817" t="s">
        <v>2403</v>
      </c>
      <c r="D817">
        <v>3</v>
      </c>
      <c r="E817">
        <v>569.84</v>
      </c>
      <c r="F817" t="s">
        <v>2935</v>
      </c>
      <c r="G817" t="s">
        <v>3064</v>
      </c>
      <c r="H817">
        <v>8</v>
      </c>
      <c r="I817" t="s">
        <v>3066</v>
      </c>
      <c r="J817">
        <v>1709.52</v>
      </c>
    </row>
    <row r="818" spans="1:10" x14ac:dyDescent="0.25">
      <c r="A818" t="s">
        <v>826</v>
      </c>
      <c r="B818" t="s">
        <v>2022</v>
      </c>
      <c r="C818" t="s">
        <v>2401</v>
      </c>
      <c r="D818">
        <v>5</v>
      </c>
      <c r="E818">
        <v>574.79</v>
      </c>
      <c r="F818" t="s">
        <v>2597</v>
      </c>
      <c r="G818" t="s">
        <v>3063</v>
      </c>
      <c r="H818">
        <v>8</v>
      </c>
      <c r="I818" t="s">
        <v>3067</v>
      </c>
      <c r="J818">
        <v>2873.95</v>
      </c>
    </row>
    <row r="819" spans="1:10" x14ac:dyDescent="0.25">
      <c r="A819" t="s">
        <v>827</v>
      </c>
      <c r="B819" t="s">
        <v>2023</v>
      </c>
      <c r="C819" t="s">
        <v>2402</v>
      </c>
      <c r="D819">
        <v>4</v>
      </c>
      <c r="E819">
        <v>598.19000000000005</v>
      </c>
      <c r="F819" t="s">
        <v>2936</v>
      </c>
      <c r="G819" t="s">
        <v>3063</v>
      </c>
      <c r="H819">
        <v>7</v>
      </c>
      <c r="I819" t="s">
        <v>3068</v>
      </c>
      <c r="J819">
        <v>2392.7600000000002</v>
      </c>
    </row>
    <row r="820" spans="1:10" x14ac:dyDescent="0.25">
      <c r="A820" t="s">
        <v>828</v>
      </c>
      <c r="B820" t="s">
        <v>2024</v>
      </c>
      <c r="C820" t="s">
        <v>2400</v>
      </c>
      <c r="D820">
        <v>4</v>
      </c>
      <c r="E820">
        <v>390.84</v>
      </c>
      <c r="F820" t="s">
        <v>2864</v>
      </c>
      <c r="G820" t="s">
        <v>3063</v>
      </c>
      <c r="H820">
        <v>9</v>
      </c>
      <c r="I820" t="s">
        <v>3067</v>
      </c>
      <c r="J820">
        <v>1563.36</v>
      </c>
    </row>
    <row r="821" spans="1:10" x14ac:dyDescent="0.25">
      <c r="A821" t="s">
        <v>829</v>
      </c>
      <c r="B821" t="s">
        <v>2025</v>
      </c>
      <c r="C821" t="s">
        <v>2400</v>
      </c>
      <c r="D821">
        <v>2</v>
      </c>
      <c r="E821">
        <v>398.45</v>
      </c>
      <c r="F821" t="s">
        <v>2937</v>
      </c>
      <c r="G821" t="s">
        <v>3061</v>
      </c>
      <c r="H821">
        <v>7</v>
      </c>
      <c r="I821" t="s">
        <v>3070</v>
      </c>
      <c r="J821">
        <v>796.9</v>
      </c>
    </row>
    <row r="822" spans="1:10" x14ac:dyDescent="0.25">
      <c r="A822" t="s">
        <v>830</v>
      </c>
      <c r="B822" t="s">
        <v>2026</v>
      </c>
      <c r="C822" t="s">
        <v>2400</v>
      </c>
      <c r="D822">
        <v>5</v>
      </c>
      <c r="E822">
        <v>623.80999999999995</v>
      </c>
      <c r="F822" t="s">
        <v>2702</v>
      </c>
      <c r="G822" t="s">
        <v>3065</v>
      </c>
      <c r="H822">
        <v>6</v>
      </c>
      <c r="I822" t="s">
        <v>3068</v>
      </c>
      <c r="J822">
        <v>3119.05</v>
      </c>
    </row>
    <row r="823" spans="1:10" x14ac:dyDescent="0.25">
      <c r="A823" t="s">
        <v>831</v>
      </c>
      <c r="B823" t="s">
        <v>2027</v>
      </c>
      <c r="C823" t="s">
        <v>2404</v>
      </c>
      <c r="D823">
        <v>4</v>
      </c>
      <c r="E823">
        <v>174.49</v>
      </c>
      <c r="F823" t="s">
        <v>2694</v>
      </c>
      <c r="G823" t="s">
        <v>3063</v>
      </c>
      <c r="H823">
        <v>5</v>
      </c>
      <c r="I823" t="s">
        <v>3069</v>
      </c>
      <c r="J823">
        <v>697.96</v>
      </c>
    </row>
    <row r="824" spans="1:10" x14ac:dyDescent="0.25">
      <c r="A824" t="s">
        <v>832</v>
      </c>
      <c r="B824" t="s">
        <v>2028</v>
      </c>
      <c r="C824" t="s">
        <v>2400</v>
      </c>
      <c r="D824">
        <v>1</v>
      </c>
      <c r="E824">
        <v>479.56</v>
      </c>
      <c r="F824" t="s">
        <v>2472</v>
      </c>
      <c r="G824" t="s">
        <v>3064</v>
      </c>
      <c r="H824">
        <v>1</v>
      </c>
      <c r="I824" t="s">
        <v>3070</v>
      </c>
      <c r="J824">
        <v>479.56</v>
      </c>
    </row>
    <row r="825" spans="1:10" x14ac:dyDescent="0.25">
      <c r="A825" t="s">
        <v>833</v>
      </c>
      <c r="B825" t="s">
        <v>2029</v>
      </c>
      <c r="C825" t="s">
        <v>2404</v>
      </c>
      <c r="D825">
        <v>4</v>
      </c>
      <c r="E825">
        <v>653.13</v>
      </c>
      <c r="F825" t="s">
        <v>2938</v>
      </c>
      <c r="G825" t="s">
        <v>3063</v>
      </c>
      <c r="H825">
        <v>8</v>
      </c>
      <c r="I825" t="s">
        <v>3066</v>
      </c>
      <c r="J825">
        <v>2612.52</v>
      </c>
    </row>
    <row r="826" spans="1:10" x14ac:dyDescent="0.25">
      <c r="A826" t="s">
        <v>834</v>
      </c>
      <c r="B826" t="s">
        <v>2030</v>
      </c>
      <c r="C826" t="s">
        <v>2399</v>
      </c>
      <c r="D826">
        <v>3</v>
      </c>
      <c r="E826">
        <v>481.1</v>
      </c>
      <c r="F826" t="s">
        <v>2939</v>
      </c>
      <c r="G826" t="s">
        <v>3063</v>
      </c>
      <c r="H826">
        <v>3</v>
      </c>
      <c r="I826" t="s">
        <v>3069</v>
      </c>
      <c r="J826">
        <v>1443.3</v>
      </c>
    </row>
    <row r="827" spans="1:10" x14ac:dyDescent="0.25">
      <c r="A827" t="s">
        <v>835</v>
      </c>
      <c r="B827" t="s">
        <v>2031</v>
      </c>
      <c r="C827" t="s">
        <v>2405</v>
      </c>
      <c r="D827">
        <v>5</v>
      </c>
      <c r="E827">
        <v>271.69</v>
      </c>
      <c r="F827" t="s">
        <v>2940</v>
      </c>
      <c r="G827" t="s">
        <v>3062</v>
      </c>
      <c r="H827">
        <v>7</v>
      </c>
      <c r="I827" t="s">
        <v>3066</v>
      </c>
      <c r="J827">
        <v>1358.45</v>
      </c>
    </row>
    <row r="828" spans="1:10" x14ac:dyDescent="0.25">
      <c r="A828" t="s">
        <v>836</v>
      </c>
      <c r="B828" t="s">
        <v>2032</v>
      </c>
      <c r="C828" t="s">
        <v>2403</v>
      </c>
      <c r="D828">
        <v>3</v>
      </c>
      <c r="E828">
        <v>463.81</v>
      </c>
      <c r="F828" t="s">
        <v>2566</v>
      </c>
      <c r="G828" t="s">
        <v>3062</v>
      </c>
      <c r="H828">
        <v>8</v>
      </c>
      <c r="I828" t="s">
        <v>3068</v>
      </c>
      <c r="J828">
        <v>1391.43</v>
      </c>
    </row>
    <row r="829" spans="1:10" x14ac:dyDescent="0.25">
      <c r="A829" t="s">
        <v>837</v>
      </c>
      <c r="B829" t="s">
        <v>2033</v>
      </c>
      <c r="C829" t="s">
        <v>2401</v>
      </c>
      <c r="D829">
        <v>2</v>
      </c>
      <c r="E829">
        <v>639.88</v>
      </c>
      <c r="F829" t="s">
        <v>2593</v>
      </c>
      <c r="G829" t="s">
        <v>3065</v>
      </c>
      <c r="H829">
        <v>5</v>
      </c>
      <c r="I829" t="s">
        <v>3066</v>
      </c>
      <c r="J829">
        <v>1279.76</v>
      </c>
    </row>
    <row r="830" spans="1:10" x14ac:dyDescent="0.25">
      <c r="A830" t="s">
        <v>838</v>
      </c>
      <c r="B830" t="s">
        <v>2034</v>
      </c>
      <c r="C830" t="s">
        <v>2402</v>
      </c>
      <c r="D830">
        <v>4</v>
      </c>
      <c r="E830">
        <v>404.58</v>
      </c>
      <c r="F830" t="s">
        <v>2941</v>
      </c>
      <c r="G830" t="s">
        <v>3065</v>
      </c>
      <c r="H830">
        <v>5</v>
      </c>
      <c r="I830" t="s">
        <v>3066</v>
      </c>
      <c r="J830">
        <v>1618.32</v>
      </c>
    </row>
    <row r="831" spans="1:10" x14ac:dyDescent="0.25">
      <c r="A831" t="s">
        <v>839</v>
      </c>
      <c r="B831" t="s">
        <v>2035</v>
      </c>
      <c r="C831" t="s">
        <v>2399</v>
      </c>
      <c r="D831">
        <v>1</v>
      </c>
      <c r="E831">
        <v>76.930000000000007</v>
      </c>
      <c r="F831" t="s">
        <v>2942</v>
      </c>
      <c r="G831" t="s">
        <v>3061</v>
      </c>
      <c r="H831">
        <v>6</v>
      </c>
      <c r="I831" t="s">
        <v>3066</v>
      </c>
      <c r="J831">
        <v>76.930000000000007</v>
      </c>
    </row>
    <row r="832" spans="1:10" x14ac:dyDescent="0.25">
      <c r="A832" t="s">
        <v>840</v>
      </c>
      <c r="B832" t="s">
        <v>2036</v>
      </c>
      <c r="C832" t="s">
        <v>2401</v>
      </c>
      <c r="D832">
        <v>4</v>
      </c>
      <c r="E832">
        <v>190.64</v>
      </c>
      <c r="F832" t="s">
        <v>2943</v>
      </c>
      <c r="G832" t="s">
        <v>3065</v>
      </c>
      <c r="H832">
        <v>5</v>
      </c>
      <c r="I832" t="s">
        <v>3068</v>
      </c>
      <c r="J832">
        <v>762.56</v>
      </c>
    </row>
    <row r="833" spans="1:10" x14ac:dyDescent="0.25">
      <c r="A833" t="s">
        <v>841</v>
      </c>
      <c r="B833" t="s">
        <v>2037</v>
      </c>
      <c r="C833" t="s">
        <v>2403</v>
      </c>
      <c r="D833">
        <v>2</v>
      </c>
      <c r="E833">
        <v>88.73</v>
      </c>
      <c r="F833" t="s">
        <v>2847</v>
      </c>
      <c r="G833" t="s">
        <v>3062</v>
      </c>
      <c r="H833">
        <v>5</v>
      </c>
      <c r="I833" t="s">
        <v>3070</v>
      </c>
      <c r="J833">
        <v>177.46</v>
      </c>
    </row>
    <row r="834" spans="1:10" x14ac:dyDescent="0.25">
      <c r="A834" t="s">
        <v>842</v>
      </c>
      <c r="B834" t="s">
        <v>2038</v>
      </c>
      <c r="C834" t="s">
        <v>2402</v>
      </c>
      <c r="D834">
        <v>5</v>
      </c>
      <c r="E834">
        <v>485.71</v>
      </c>
      <c r="F834" t="s">
        <v>2419</v>
      </c>
      <c r="G834" t="s">
        <v>3062</v>
      </c>
      <c r="H834">
        <v>10</v>
      </c>
      <c r="I834" t="s">
        <v>3067</v>
      </c>
      <c r="J834">
        <v>2428.5500000000002</v>
      </c>
    </row>
    <row r="835" spans="1:10" x14ac:dyDescent="0.25">
      <c r="A835" t="s">
        <v>843</v>
      </c>
      <c r="B835" t="s">
        <v>2039</v>
      </c>
      <c r="C835" t="s">
        <v>2400</v>
      </c>
      <c r="D835">
        <v>5</v>
      </c>
      <c r="E835">
        <v>78.290000000000006</v>
      </c>
      <c r="F835" t="s">
        <v>2944</v>
      </c>
      <c r="G835" t="s">
        <v>3063</v>
      </c>
      <c r="H835">
        <v>5</v>
      </c>
      <c r="I835" t="s">
        <v>3067</v>
      </c>
      <c r="J835">
        <v>391.45</v>
      </c>
    </row>
    <row r="836" spans="1:10" x14ac:dyDescent="0.25">
      <c r="A836" t="s">
        <v>844</v>
      </c>
      <c r="B836" t="s">
        <v>2040</v>
      </c>
      <c r="C836" t="s">
        <v>2403</v>
      </c>
      <c r="D836">
        <v>5</v>
      </c>
      <c r="E836">
        <v>22.14</v>
      </c>
      <c r="F836" t="s">
        <v>2612</v>
      </c>
      <c r="G836" t="s">
        <v>3065</v>
      </c>
      <c r="H836">
        <v>10</v>
      </c>
      <c r="I836" t="s">
        <v>3066</v>
      </c>
      <c r="J836">
        <v>110.7</v>
      </c>
    </row>
    <row r="837" spans="1:10" x14ac:dyDescent="0.25">
      <c r="A837" t="s">
        <v>845</v>
      </c>
      <c r="B837" t="s">
        <v>2041</v>
      </c>
      <c r="C837" t="s">
        <v>2405</v>
      </c>
      <c r="D837">
        <v>1</v>
      </c>
      <c r="E837">
        <v>679.65</v>
      </c>
      <c r="F837" t="s">
        <v>2945</v>
      </c>
      <c r="G837" t="s">
        <v>3061</v>
      </c>
      <c r="H837">
        <v>6</v>
      </c>
      <c r="I837" t="s">
        <v>3070</v>
      </c>
      <c r="J837">
        <v>679.65</v>
      </c>
    </row>
    <row r="838" spans="1:10" x14ac:dyDescent="0.25">
      <c r="A838" t="s">
        <v>846</v>
      </c>
      <c r="B838" t="s">
        <v>2042</v>
      </c>
      <c r="C838" t="s">
        <v>2400</v>
      </c>
      <c r="D838">
        <v>1</v>
      </c>
      <c r="E838">
        <v>178.44</v>
      </c>
      <c r="F838" t="s">
        <v>2856</v>
      </c>
      <c r="G838" t="s">
        <v>3063</v>
      </c>
      <c r="H838">
        <v>2</v>
      </c>
      <c r="I838" t="s">
        <v>3070</v>
      </c>
      <c r="J838">
        <v>178.44</v>
      </c>
    </row>
    <row r="839" spans="1:10" x14ac:dyDescent="0.25">
      <c r="A839" t="s">
        <v>847</v>
      </c>
      <c r="B839" t="s">
        <v>2043</v>
      </c>
      <c r="C839" t="s">
        <v>2402</v>
      </c>
      <c r="D839">
        <v>5</v>
      </c>
      <c r="E839">
        <v>655.55</v>
      </c>
      <c r="F839" t="s">
        <v>2835</v>
      </c>
      <c r="G839" t="s">
        <v>3062</v>
      </c>
      <c r="H839">
        <v>5</v>
      </c>
      <c r="I839" t="s">
        <v>3068</v>
      </c>
      <c r="J839">
        <v>3277.75</v>
      </c>
    </row>
    <row r="840" spans="1:10" x14ac:dyDescent="0.25">
      <c r="A840" t="s">
        <v>848</v>
      </c>
      <c r="B840" t="s">
        <v>2044</v>
      </c>
      <c r="C840" t="s">
        <v>2405</v>
      </c>
      <c r="D840">
        <v>4</v>
      </c>
      <c r="E840">
        <v>577.08000000000004</v>
      </c>
      <c r="F840" t="s">
        <v>2471</v>
      </c>
      <c r="G840" t="s">
        <v>3062</v>
      </c>
      <c r="H840">
        <v>8</v>
      </c>
      <c r="I840" t="s">
        <v>3069</v>
      </c>
      <c r="J840">
        <v>2308.3200000000002</v>
      </c>
    </row>
    <row r="841" spans="1:10" x14ac:dyDescent="0.25">
      <c r="A841" t="s">
        <v>849</v>
      </c>
      <c r="B841" t="s">
        <v>2045</v>
      </c>
      <c r="C841" t="s">
        <v>2402</v>
      </c>
      <c r="D841">
        <v>3</v>
      </c>
      <c r="E841">
        <v>197.97</v>
      </c>
      <c r="F841" t="s">
        <v>2898</v>
      </c>
      <c r="G841" t="s">
        <v>3062</v>
      </c>
      <c r="H841">
        <v>5</v>
      </c>
      <c r="I841" t="s">
        <v>3070</v>
      </c>
      <c r="J841">
        <v>593.91</v>
      </c>
    </row>
    <row r="842" spans="1:10" x14ac:dyDescent="0.25">
      <c r="A842" t="s">
        <v>850</v>
      </c>
      <c r="B842" t="s">
        <v>2046</v>
      </c>
      <c r="C842" t="s">
        <v>2402</v>
      </c>
      <c r="D842">
        <v>3</v>
      </c>
      <c r="E842">
        <v>411.95</v>
      </c>
      <c r="F842" t="s">
        <v>2770</v>
      </c>
      <c r="G842" t="s">
        <v>3063</v>
      </c>
      <c r="H842">
        <v>7</v>
      </c>
      <c r="I842" t="s">
        <v>3067</v>
      </c>
      <c r="J842">
        <v>1235.8499999999999</v>
      </c>
    </row>
    <row r="843" spans="1:10" x14ac:dyDescent="0.25">
      <c r="A843" t="s">
        <v>851</v>
      </c>
      <c r="B843" t="s">
        <v>2047</v>
      </c>
      <c r="C843" t="s">
        <v>2403</v>
      </c>
      <c r="D843">
        <v>2</v>
      </c>
      <c r="E843">
        <v>443.22</v>
      </c>
      <c r="F843" t="s">
        <v>2946</v>
      </c>
      <c r="G843" t="s">
        <v>3063</v>
      </c>
      <c r="H843">
        <v>5</v>
      </c>
      <c r="I843" t="s">
        <v>3069</v>
      </c>
      <c r="J843">
        <v>886.44</v>
      </c>
    </row>
    <row r="844" spans="1:10" x14ac:dyDescent="0.25">
      <c r="A844" t="s">
        <v>852</v>
      </c>
      <c r="B844" t="s">
        <v>2048</v>
      </c>
      <c r="C844" t="s">
        <v>2404</v>
      </c>
      <c r="D844">
        <v>3</v>
      </c>
      <c r="E844">
        <v>364.14</v>
      </c>
      <c r="F844" t="s">
        <v>2873</v>
      </c>
      <c r="G844" t="s">
        <v>3062</v>
      </c>
      <c r="H844">
        <v>7</v>
      </c>
      <c r="I844" t="s">
        <v>3067</v>
      </c>
      <c r="J844">
        <v>1092.42</v>
      </c>
    </row>
    <row r="845" spans="1:10" x14ac:dyDescent="0.25">
      <c r="A845" t="s">
        <v>853</v>
      </c>
      <c r="B845" t="s">
        <v>2049</v>
      </c>
      <c r="C845" t="s">
        <v>2405</v>
      </c>
      <c r="D845">
        <v>3</v>
      </c>
      <c r="E845">
        <v>430.06</v>
      </c>
      <c r="F845" t="s">
        <v>2947</v>
      </c>
      <c r="G845" t="s">
        <v>3064</v>
      </c>
      <c r="H845">
        <v>8</v>
      </c>
      <c r="I845" t="s">
        <v>3066</v>
      </c>
      <c r="J845">
        <v>1290.18</v>
      </c>
    </row>
    <row r="846" spans="1:10" x14ac:dyDescent="0.25">
      <c r="A846" t="s">
        <v>854</v>
      </c>
      <c r="B846" t="s">
        <v>2050</v>
      </c>
      <c r="C846" t="s">
        <v>2402</v>
      </c>
      <c r="D846">
        <v>1</v>
      </c>
      <c r="E846">
        <v>320.92</v>
      </c>
      <c r="F846" t="s">
        <v>2948</v>
      </c>
      <c r="G846" t="s">
        <v>3062</v>
      </c>
      <c r="H846">
        <v>5</v>
      </c>
      <c r="I846" t="s">
        <v>3069</v>
      </c>
      <c r="J846">
        <v>320.92</v>
      </c>
    </row>
    <row r="847" spans="1:10" x14ac:dyDescent="0.25">
      <c r="A847" t="s">
        <v>855</v>
      </c>
      <c r="B847" t="s">
        <v>2051</v>
      </c>
      <c r="C847" t="s">
        <v>2400</v>
      </c>
      <c r="D847">
        <v>3</v>
      </c>
      <c r="E847">
        <v>107.36</v>
      </c>
      <c r="F847" t="s">
        <v>2949</v>
      </c>
      <c r="G847" t="s">
        <v>3064</v>
      </c>
      <c r="H847">
        <v>5</v>
      </c>
      <c r="I847" t="s">
        <v>3070</v>
      </c>
      <c r="J847">
        <v>322.08</v>
      </c>
    </row>
    <row r="848" spans="1:10" x14ac:dyDescent="0.25">
      <c r="A848" t="s">
        <v>856</v>
      </c>
      <c r="B848" t="s">
        <v>2052</v>
      </c>
      <c r="C848" t="s">
        <v>2405</v>
      </c>
      <c r="D848">
        <v>2</v>
      </c>
      <c r="E848">
        <v>359.86</v>
      </c>
      <c r="F848" t="s">
        <v>2950</v>
      </c>
      <c r="G848" t="s">
        <v>3061</v>
      </c>
      <c r="H848">
        <v>4</v>
      </c>
      <c r="I848" t="s">
        <v>3067</v>
      </c>
      <c r="J848">
        <v>719.72</v>
      </c>
    </row>
    <row r="849" spans="1:10" x14ac:dyDescent="0.25">
      <c r="A849" t="s">
        <v>857</v>
      </c>
      <c r="B849" t="s">
        <v>2053</v>
      </c>
      <c r="C849" t="s">
        <v>2403</v>
      </c>
      <c r="D849">
        <v>4</v>
      </c>
      <c r="E849">
        <v>434.23</v>
      </c>
      <c r="F849" t="s">
        <v>2653</v>
      </c>
      <c r="G849" t="s">
        <v>3062</v>
      </c>
      <c r="H849">
        <v>8</v>
      </c>
      <c r="I849" t="s">
        <v>3068</v>
      </c>
      <c r="J849">
        <v>1736.92</v>
      </c>
    </row>
    <row r="850" spans="1:10" x14ac:dyDescent="0.25">
      <c r="A850" t="s">
        <v>858</v>
      </c>
      <c r="B850" t="s">
        <v>2054</v>
      </c>
      <c r="C850" t="s">
        <v>2402</v>
      </c>
      <c r="D850">
        <v>2</v>
      </c>
      <c r="E850">
        <v>645.85</v>
      </c>
      <c r="F850" t="s">
        <v>2462</v>
      </c>
      <c r="G850" t="s">
        <v>3062</v>
      </c>
      <c r="H850">
        <v>5</v>
      </c>
      <c r="I850" t="s">
        <v>3067</v>
      </c>
      <c r="J850">
        <v>1291.7</v>
      </c>
    </row>
    <row r="851" spans="1:10" x14ac:dyDescent="0.25">
      <c r="A851" t="s">
        <v>859</v>
      </c>
      <c r="B851" t="s">
        <v>2055</v>
      </c>
      <c r="C851" t="s">
        <v>2403</v>
      </c>
      <c r="D851">
        <v>4</v>
      </c>
      <c r="E851">
        <v>214.35</v>
      </c>
      <c r="F851" t="s">
        <v>2939</v>
      </c>
      <c r="G851" t="s">
        <v>3061</v>
      </c>
      <c r="H851">
        <v>7</v>
      </c>
      <c r="I851" t="s">
        <v>3067</v>
      </c>
      <c r="J851">
        <v>857.4</v>
      </c>
    </row>
    <row r="852" spans="1:10" x14ac:dyDescent="0.25">
      <c r="A852" t="s">
        <v>860</v>
      </c>
      <c r="B852" t="s">
        <v>2056</v>
      </c>
      <c r="C852" t="s">
        <v>2399</v>
      </c>
      <c r="D852">
        <v>3</v>
      </c>
      <c r="E852">
        <v>638.5</v>
      </c>
      <c r="F852" t="s">
        <v>2889</v>
      </c>
      <c r="G852" t="s">
        <v>3061</v>
      </c>
      <c r="H852">
        <v>4</v>
      </c>
      <c r="I852" t="s">
        <v>3066</v>
      </c>
      <c r="J852">
        <v>1915.5</v>
      </c>
    </row>
    <row r="853" spans="1:10" x14ac:dyDescent="0.25">
      <c r="A853" t="s">
        <v>861</v>
      </c>
      <c r="B853" t="s">
        <v>2057</v>
      </c>
      <c r="C853" t="s">
        <v>2404</v>
      </c>
      <c r="D853">
        <v>1</v>
      </c>
      <c r="E853">
        <v>365.57</v>
      </c>
      <c r="F853" t="s">
        <v>2478</v>
      </c>
      <c r="G853" t="s">
        <v>3062</v>
      </c>
      <c r="H853">
        <v>5</v>
      </c>
      <c r="I853" t="s">
        <v>3068</v>
      </c>
      <c r="J853">
        <v>365.57</v>
      </c>
    </row>
    <row r="854" spans="1:10" x14ac:dyDescent="0.25">
      <c r="A854" t="s">
        <v>862</v>
      </c>
      <c r="B854" t="s">
        <v>2058</v>
      </c>
      <c r="C854" t="s">
        <v>2405</v>
      </c>
      <c r="D854">
        <v>3</v>
      </c>
      <c r="E854">
        <v>568.04999999999995</v>
      </c>
      <c r="F854" t="s">
        <v>2951</v>
      </c>
      <c r="G854" t="s">
        <v>3064</v>
      </c>
      <c r="H854">
        <v>6</v>
      </c>
      <c r="I854" t="s">
        <v>3070</v>
      </c>
      <c r="J854">
        <v>1704.15</v>
      </c>
    </row>
    <row r="855" spans="1:10" x14ac:dyDescent="0.25">
      <c r="A855" t="s">
        <v>863</v>
      </c>
      <c r="B855" t="s">
        <v>2059</v>
      </c>
      <c r="C855" t="s">
        <v>2403</v>
      </c>
      <c r="D855">
        <v>3</v>
      </c>
      <c r="E855">
        <v>490.01</v>
      </c>
      <c r="F855" t="s">
        <v>2659</v>
      </c>
      <c r="G855" t="s">
        <v>3065</v>
      </c>
      <c r="H855">
        <v>4</v>
      </c>
      <c r="I855" t="s">
        <v>3069</v>
      </c>
      <c r="J855">
        <v>1470.03</v>
      </c>
    </row>
    <row r="856" spans="1:10" x14ac:dyDescent="0.25">
      <c r="A856" t="s">
        <v>864</v>
      </c>
      <c r="B856" t="s">
        <v>2060</v>
      </c>
      <c r="C856" t="s">
        <v>2404</v>
      </c>
      <c r="D856">
        <v>3</v>
      </c>
      <c r="E856">
        <v>372.6</v>
      </c>
      <c r="F856" t="s">
        <v>2755</v>
      </c>
      <c r="G856" t="s">
        <v>3063</v>
      </c>
      <c r="H856">
        <v>7</v>
      </c>
      <c r="I856" t="s">
        <v>3067</v>
      </c>
      <c r="J856">
        <v>1117.8</v>
      </c>
    </row>
    <row r="857" spans="1:10" x14ac:dyDescent="0.25">
      <c r="A857" t="s">
        <v>865</v>
      </c>
      <c r="B857" t="s">
        <v>2061</v>
      </c>
      <c r="C857" t="s">
        <v>2399</v>
      </c>
      <c r="D857">
        <v>5</v>
      </c>
      <c r="E857">
        <v>240.61</v>
      </c>
      <c r="F857" t="s">
        <v>2620</v>
      </c>
      <c r="G857" t="s">
        <v>3063</v>
      </c>
      <c r="H857">
        <v>10</v>
      </c>
      <c r="I857" t="s">
        <v>3068</v>
      </c>
      <c r="J857">
        <v>1203.05</v>
      </c>
    </row>
    <row r="858" spans="1:10" x14ac:dyDescent="0.25">
      <c r="A858" t="s">
        <v>866</v>
      </c>
      <c r="B858" t="s">
        <v>2062</v>
      </c>
      <c r="C858" t="s">
        <v>2400</v>
      </c>
      <c r="D858">
        <v>1</v>
      </c>
      <c r="E858">
        <v>586.62</v>
      </c>
      <c r="F858" t="s">
        <v>2448</v>
      </c>
      <c r="G858" t="s">
        <v>3061</v>
      </c>
      <c r="H858">
        <v>5</v>
      </c>
      <c r="I858" t="s">
        <v>3069</v>
      </c>
      <c r="J858">
        <v>586.62</v>
      </c>
    </row>
    <row r="859" spans="1:10" x14ac:dyDescent="0.25">
      <c r="A859" t="s">
        <v>867</v>
      </c>
      <c r="B859" t="s">
        <v>2063</v>
      </c>
      <c r="C859" t="s">
        <v>2400</v>
      </c>
      <c r="D859">
        <v>3</v>
      </c>
      <c r="E859">
        <v>257.83999999999997</v>
      </c>
      <c r="F859" t="s">
        <v>2590</v>
      </c>
      <c r="G859" t="s">
        <v>3062</v>
      </c>
      <c r="H859">
        <v>4</v>
      </c>
      <c r="I859" t="s">
        <v>3066</v>
      </c>
      <c r="J859">
        <v>773.52</v>
      </c>
    </row>
    <row r="860" spans="1:10" x14ac:dyDescent="0.25">
      <c r="A860" t="s">
        <v>868</v>
      </c>
      <c r="B860" t="s">
        <v>2064</v>
      </c>
      <c r="C860" t="s">
        <v>2401</v>
      </c>
      <c r="D860">
        <v>5</v>
      </c>
      <c r="E860">
        <v>435.66</v>
      </c>
      <c r="F860" t="s">
        <v>2424</v>
      </c>
      <c r="G860" t="s">
        <v>3062</v>
      </c>
      <c r="H860">
        <v>9</v>
      </c>
      <c r="I860" t="s">
        <v>3069</v>
      </c>
      <c r="J860">
        <v>2178.3000000000002</v>
      </c>
    </row>
    <row r="861" spans="1:10" x14ac:dyDescent="0.25">
      <c r="A861" t="s">
        <v>869</v>
      </c>
      <c r="B861" t="s">
        <v>2065</v>
      </c>
      <c r="C861" t="s">
        <v>2402</v>
      </c>
      <c r="D861">
        <v>5</v>
      </c>
      <c r="E861">
        <v>261.33</v>
      </c>
      <c r="F861" t="s">
        <v>2838</v>
      </c>
      <c r="G861" t="s">
        <v>3063</v>
      </c>
      <c r="H861">
        <v>5</v>
      </c>
      <c r="I861" t="s">
        <v>3067</v>
      </c>
      <c r="J861">
        <v>1306.6500000000001</v>
      </c>
    </row>
    <row r="862" spans="1:10" x14ac:dyDescent="0.25">
      <c r="A862" t="s">
        <v>870</v>
      </c>
      <c r="B862" t="s">
        <v>2066</v>
      </c>
      <c r="C862" t="s">
        <v>2403</v>
      </c>
      <c r="D862">
        <v>1</v>
      </c>
      <c r="E862">
        <v>422.54</v>
      </c>
      <c r="F862" t="s">
        <v>2695</v>
      </c>
      <c r="G862" t="s">
        <v>3065</v>
      </c>
      <c r="H862">
        <v>1</v>
      </c>
      <c r="I862" t="s">
        <v>3070</v>
      </c>
      <c r="J862">
        <v>422.54</v>
      </c>
    </row>
    <row r="863" spans="1:10" x14ac:dyDescent="0.25">
      <c r="A863" t="s">
        <v>871</v>
      </c>
      <c r="B863" t="s">
        <v>2067</v>
      </c>
      <c r="C863" t="s">
        <v>2405</v>
      </c>
      <c r="D863">
        <v>5</v>
      </c>
      <c r="E863">
        <v>330.45</v>
      </c>
      <c r="F863" t="s">
        <v>2952</v>
      </c>
      <c r="G863" t="s">
        <v>3064</v>
      </c>
      <c r="H863">
        <v>10</v>
      </c>
      <c r="I863" t="s">
        <v>3070</v>
      </c>
      <c r="J863">
        <v>1652.25</v>
      </c>
    </row>
    <row r="864" spans="1:10" x14ac:dyDescent="0.25">
      <c r="A864" t="s">
        <v>872</v>
      </c>
      <c r="B864" t="s">
        <v>2068</v>
      </c>
      <c r="C864" t="s">
        <v>2405</v>
      </c>
      <c r="D864">
        <v>3</v>
      </c>
      <c r="E864">
        <v>120.82</v>
      </c>
      <c r="F864" t="s">
        <v>2878</v>
      </c>
      <c r="G864" t="s">
        <v>3063</v>
      </c>
      <c r="H864">
        <v>5</v>
      </c>
      <c r="I864" t="s">
        <v>3067</v>
      </c>
      <c r="J864">
        <v>362.46</v>
      </c>
    </row>
    <row r="865" spans="1:10" x14ac:dyDescent="0.25">
      <c r="A865" t="s">
        <v>873</v>
      </c>
      <c r="B865" t="s">
        <v>2069</v>
      </c>
      <c r="C865" t="s">
        <v>2400</v>
      </c>
      <c r="D865">
        <v>1</v>
      </c>
      <c r="E865">
        <v>14.06</v>
      </c>
      <c r="F865" t="s">
        <v>2621</v>
      </c>
      <c r="G865" t="s">
        <v>3063</v>
      </c>
      <c r="H865">
        <v>5</v>
      </c>
      <c r="I865" t="s">
        <v>3067</v>
      </c>
      <c r="J865">
        <v>14.06</v>
      </c>
    </row>
    <row r="866" spans="1:10" x14ac:dyDescent="0.25">
      <c r="A866" t="s">
        <v>874</v>
      </c>
      <c r="B866" t="s">
        <v>2070</v>
      </c>
      <c r="C866" t="s">
        <v>2405</v>
      </c>
      <c r="D866">
        <v>1</v>
      </c>
      <c r="E866">
        <v>491.11</v>
      </c>
      <c r="F866" t="s">
        <v>2953</v>
      </c>
      <c r="G866" t="s">
        <v>3063</v>
      </c>
      <c r="H866">
        <v>4</v>
      </c>
      <c r="I866" t="s">
        <v>3069</v>
      </c>
      <c r="J866">
        <v>491.11</v>
      </c>
    </row>
    <row r="867" spans="1:10" x14ac:dyDescent="0.25">
      <c r="A867" t="s">
        <v>875</v>
      </c>
      <c r="B867" t="s">
        <v>2071</v>
      </c>
      <c r="C867" t="s">
        <v>2399</v>
      </c>
      <c r="D867">
        <v>4</v>
      </c>
      <c r="E867">
        <v>677.37</v>
      </c>
      <c r="F867" t="s">
        <v>2954</v>
      </c>
      <c r="G867" t="s">
        <v>3065</v>
      </c>
      <c r="H867">
        <v>8</v>
      </c>
      <c r="I867" t="s">
        <v>3070</v>
      </c>
      <c r="J867">
        <v>2709.48</v>
      </c>
    </row>
    <row r="868" spans="1:10" x14ac:dyDescent="0.25">
      <c r="A868" t="s">
        <v>876</v>
      </c>
      <c r="B868" t="s">
        <v>2072</v>
      </c>
      <c r="C868" t="s">
        <v>2405</v>
      </c>
      <c r="D868">
        <v>5</v>
      </c>
      <c r="E868">
        <v>189.25</v>
      </c>
      <c r="F868" t="s">
        <v>2955</v>
      </c>
      <c r="G868" t="s">
        <v>3061</v>
      </c>
      <c r="H868">
        <v>10</v>
      </c>
      <c r="I868" t="s">
        <v>3068</v>
      </c>
      <c r="J868">
        <v>946.25</v>
      </c>
    </row>
    <row r="869" spans="1:10" x14ac:dyDescent="0.25">
      <c r="A869" t="s">
        <v>877</v>
      </c>
      <c r="B869" t="s">
        <v>2073</v>
      </c>
      <c r="C869" t="s">
        <v>2403</v>
      </c>
      <c r="D869">
        <v>4</v>
      </c>
      <c r="E869">
        <v>142.58000000000001</v>
      </c>
      <c r="F869" t="s">
        <v>2956</v>
      </c>
      <c r="G869" t="s">
        <v>3065</v>
      </c>
      <c r="H869">
        <v>4</v>
      </c>
      <c r="I869" t="s">
        <v>3069</v>
      </c>
      <c r="J869">
        <v>570.32000000000005</v>
      </c>
    </row>
    <row r="870" spans="1:10" x14ac:dyDescent="0.25">
      <c r="A870" t="s">
        <v>878</v>
      </c>
      <c r="B870" t="s">
        <v>2074</v>
      </c>
      <c r="C870" t="s">
        <v>2399</v>
      </c>
      <c r="D870">
        <v>4</v>
      </c>
      <c r="E870">
        <v>316.32</v>
      </c>
      <c r="F870" t="s">
        <v>2957</v>
      </c>
      <c r="G870" t="s">
        <v>3061</v>
      </c>
      <c r="H870">
        <v>7</v>
      </c>
      <c r="I870" t="s">
        <v>3069</v>
      </c>
      <c r="J870">
        <v>1265.28</v>
      </c>
    </row>
    <row r="871" spans="1:10" x14ac:dyDescent="0.25">
      <c r="A871" t="s">
        <v>879</v>
      </c>
      <c r="B871" t="s">
        <v>2075</v>
      </c>
      <c r="C871" t="s">
        <v>2405</v>
      </c>
      <c r="D871">
        <v>2</v>
      </c>
      <c r="E871">
        <v>533.95000000000005</v>
      </c>
      <c r="F871" t="s">
        <v>2562</v>
      </c>
      <c r="G871" t="s">
        <v>3062</v>
      </c>
      <c r="H871">
        <v>5</v>
      </c>
      <c r="I871" t="s">
        <v>3070</v>
      </c>
      <c r="J871">
        <v>1067.9000000000001</v>
      </c>
    </row>
    <row r="872" spans="1:10" x14ac:dyDescent="0.25">
      <c r="A872" t="s">
        <v>880</v>
      </c>
      <c r="B872" t="s">
        <v>2076</v>
      </c>
      <c r="C872" t="s">
        <v>2400</v>
      </c>
      <c r="D872">
        <v>4</v>
      </c>
      <c r="E872">
        <v>470.09</v>
      </c>
      <c r="F872" t="s">
        <v>2958</v>
      </c>
      <c r="G872" t="s">
        <v>3061</v>
      </c>
      <c r="H872">
        <v>4</v>
      </c>
      <c r="I872" t="s">
        <v>3070</v>
      </c>
      <c r="J872">
        <v>1880.36</v>
      </c>
    </row>
    <row r="873" spans="1:10" x14ac:dyDescent="0.25">
      <c r="A873" t="s">
        <v>881</v>
      </c>
      <c r="B873" t="s">
        <v>2077</v>
      </c>
      <c r="C873" t="s">
        <v>2401</v>
      </c>
      <c r="D873">
        <v>3</v>
      </c>
      <c r="E873">
        <v>324.3</v>
      </c>
      <c r="F873" t="s">
        <v>2959</v>
      </c>
      <c r="G873" t="s">
        <v>3061</v>
      </c>
      <c r="H873">
        <v>8</v>
      </c>
      <c r="I873" t="s">
        <v>3068</v>
      </c>
      <c r="J873">
        <v>972.90000000000009</v>
      </c>
    </row>
    <row r="874" spans="1:10" x14ac:dyDescent="0.25">
      <c r="A874" t="s">
        <v>882</v>
      </c>
      <c r="B874" t="s">
        <v>2078</v>
      </c>
      <c r="C874" t="s">
        <v>2402</v>
      </c>
      <c r="D874">
        <v>4</v>
      </c>
      <c r="E874">
        <v>629.34</v>
      </c>
      <c r="F874" t="s">
        <v>2586</v>
      </c>
      <c r="G874" t="s">
        <v>3065</v>
      </c>
      <c r="H874">
        <v>7</v>
      </c>
      <c r="I874" t="s">
        <v>3068</v>
      </c>
      <c r="J874">
        <v>2517.36</v>
      </c>
    </row>
    <row r="875" spans="1:10" x14ac:dyDescent="0.25">
      <c r="A875" t="s">
        <v>883</v>
      </c>
      <c r="B875" t="s">
        <v>2079</v>
      </c>
      <c r="C875" t="s">
        <v>2405</v>
      </c>
      <c r="D875">
        <v>3</v>
      </c>
      <c r="E875">
        <v>136.84</v>
      </c>
      <c r="F875" t="s">
        <v>2960</v>
      </c>
      <c r="G875" t="s">
        <v>3065</v>
      </c>
      <c r="H875">
        <v>3</v>
      </c>
      <c r="I875" t="s">
        <v>3069</v>
      </c>
      <c r="J875">
        <v>410.52</v>
      </c>
    </row>
    <row r="876" spans="1:10" x14ac:dyDescent="0.25">
      <c r="A876" t="s">
        <v>884</v>
      </c>
      <c r="B876" t="s">
        <v>2080</v>
      </c>
      <c r="C876" t="s">
        <v>2402</v>
      </c>
      <c r="D876">
        <v>2</v>
      </c>
      <c r="E876">
        <v>488.9</v>
      </c>
      <c r="F876" t="s">
        <v>2882</v>
      </c>
      <c r="G876" t="s">
        <v>3065</v>
      </c>
      <c r="H876">
        <v>7</v>
      </c>
      <c r="I876" t="s">
        <v>3069</v>
      </c>
      <c r="J876">
        <v>977.8</v>
      </c>
    </row>
    <row r="877" spans="1:10" x14ac:dyDescent="0.25">
      <c r="A877" t="s">
        <v>885</v>
      </c>
      <c r="B877" t="s">
        <v>2081</v>
      </c>
      <c r="C877" t="s">
        <v>2404</v>
      </c>
      <c r="D877">
        <v>5</v>
      </c>
      <c r="E877">
        <v>133.38999999999999</v>
      </c>
      <c r="F877" t="s">
        <v>2492</v>
      </c>
      <c r="G877" t="s">
        <v>3063</v>
      </c>
      <c r="H877">
        <v>6</v>
      </c>
      <c r="I877" t="s">
        <v>3067</v>
      </c>
      <c r="J877">
        <v>666.94999999999993</v>
      </c>
    </row>
    <row r="878" spans="1:10" x14ac:dyDescent="0.25">
      <c r="A878" t="s">
        <v>886</v>
      </c>
      <c r="B878" t="s">
        <v>2082</v>
      </c>
      <c r="C878" t="s">
        <v>2402</v>
      </c>
      <c r="D878">
        <v>5</v>
      </c>
      <c r="E878">
        <v>608.91</v>
      </c>
      <c r="F878" t="s">
        <v>2896</v>
      </c>
      <c r="G878" t="s">
        <v>3064</v>
      </c>
      <c r="H878">
        <v>6</v>
      </c>
      <c r="I878" t="s">
        <v>3070</v>
      </c>
      <c r="J878">
        <v>3044.55</v>
      </c>
    </row>
    <row r="879" spans="1:10" x14ac:dyDescent="0.25">
      <c r="A879" t="s">
        <v>887</v>
      </c>
      <c r="B879" t="s">
        <v>2083</v>
      </c>
      <c r="C879" t="s">
        <v>2401</v>
      </c>
      <c r="D879">
        <v>1</v>
      </c>
      <c r="E879">
        <v>524.05999999999995</v>
      </c>
      <c r="F879" t="s">
        <v>2843</v>
      </c>
      <c r="G879" t="s">
        <v>3061</v>
      </c>
      <c r="H879">
        <v>3</v>
      </c>
      <c r="I879" t="s">
        <v>3068</v>
      </c>
      <c r="J879">
        <v>524.05999999999995</v>
      </c>
    </row>
    <row r="880" spans="1:10" x14ac:dyDescent="0.25">
      <c r="A880" t="s">
        <v>888</v>
      </c>
      <c r="B880" t="s">
        <v>2084</v>
      </c>
      <c r="C880" t="s">
        <v>2405</v>
      </c>
      <c r="D880">
        <v>2</v>
      </c>
      <c r="E880">
        <v>330.69</v>
      </c>
      <c r="F880" t="s">
        <v>2961</v>
      </c>
      <c r="G880" t="s">
        <v>3062</v>
      </c>
      <c r="H880">
        <v>5</v>
      </c>
      <c r="I880" t="s">
        <v>3070</v>
      </c>
      <c r="J880">
        <v>661.38</v>
      </c>
    </row>
    <row r="881" spans="1:10" x14ac:dyDescent="0.25">
      <c r="A881" t="s">
        <v>889</v>
      </c>
      <c r="B881" t="s">
        <v>2085</v>
      </c>
      <c r="C881" t="s">
        <v>2400</v>
      </c>
      <c r="D881">
        <v>2</v>
      </c>
      <c r="E881">
        <v>547.66999999999996</v>
      </c>
      <c r="F881" t="s">
        <v>2813</v>
      </c>
      <c r="G881" t="s">
        <v>3064</v>
      </c>
      <c r="H881">
        <v>3</v>
      </c>
      <c r="I881" t="s">
        <v>3066</v>
      </c>
      <c r="J881">
        <v>1095.3399999999999</v>
      </c>
    </row>
    <row r="882" spans="1:10" x14ac:dyDescent="0.25">
      <c r="A882" t="s">
        <v>890</v>
      </c>
      <c r="B882" t="s">
        <v>2086</v>
      </c>
      <c r="C882" t="s">
        <v>2404</v>
      </c>
      <c r="D882">
        <v>4</v>
      </c>
      <c r="E882">
        <v>233.7</v>
      </c>
      <c r="F882" t="s">
        <v>2616</v>
      </c>
      <c r="G882" t="s">
        <v>3062</v>
      </c>
      <c r="H882">
        <v>8</v>
      </c>
      <c r="I882" t="s">
        <v>3069</v>
      </c>
      <c r="J882">
        <v>934.8</v>
      </c>
    </row>
    <row r="883" spans="1:10" x14ac:dyDescent="0.25">
      <c r="A883" t="s">
        <v>891</v>
      </c>
      <c r="B883" t="s">
        <v>2087</v>
      </c>
      <c r="C883" t="s">
        <v>2401</v>
      </c>
      <c r="D883">
        <v>2</v>
      </c>
      <c r="E883">
        <v>448.85</v>
      </c>
      <c r="F883" t="s">
        <v>2962</v>
      </c>
      <c r="G883" t="s">
        <v>3063</v>
      </c>
      <c r="H883">
        <v>6</v>
      </c>
      <c r="I883" t="s">
        <v>3066</v>
      </c>
      <c r="J883">
        <v>897.7</v>
      </c>
    </row>
    <row r="884" spans="1:10" x14ac:dyDescent="0.25">
      <c r="A884" t="s">
        <v>892</v>
      </c>
      <c r="B884" t="s">
        <v>2088</v>
      </c>
      <c r="C884" t="s">
        <v>2400</v>
      </c>
      <c r="D884">
        <v>2</v>
      </c>
      <c r="E884">
        <v>274.12</v>
      </c>
      <c r="F884" t="s">
        <v>2497</v>
      </c>
      <c r="G884" t="s">
        <v>3065</v>
      </c>
      <c r="H884">
        <v>6</v>
      </c>
      <c r="I884" t="s">
        <v>3067</v>
      </c>
      <c r="J884">
        <v>548.24</v>
      </c>
    </row>
    <row r="885" spans="1:10" x14ac:dyDescent="0.25">
      <c r="A885" t="s">
        <v>893</v>
      </c>
      <c r="B885" t="s">
        <v>2089</v>
      </c>
      <c r="C885" t="s">
        <v>2403</v>
      </c>
      <c r="D885">
        <v>5</v>
      </c>
      <c r="E885">
        <v>561.48</v>
      </c>
      <c r="F885" t="s">
        <v>2963</v>
      </c>
      <c r="G885" t="s">
        <v>3062</v>
      </c>
      <c r="H885">
        <v>9</v>
      </c>
      <c r="I885" t="s">
        <v>3069</v>
      </c>
      <c r="J885">
        <v>2807.4</v>
      </c>
    </row>
    <row r="886" spans="1:10" x14ac:dyDescent="0.25">
      <c r="A886" t="s">
        <v>894</v>
      </c>
      <c r="B886" t="s">
        <v>2090</v>
      </c>
      <c r="C886" t="s">
        <v>2402</v>
      </c>
      <c r="D886">
        <v>1</v>
      </c>
      <c r="E886">
        <v>595.54</v>
      </c>
      <c r="F886" t="s">
        <v>2964</v>
      </c>
      <c r="G886" t="s">
        <v>3064</v>
      </c>
      <c r="H886">
        <v>4</v>
      </c>
      <c r="I886" t="s">
        <v>3066</v>
      </c>
      <c r="J886">
        <v>595.54</v>
      </c>
    </row>
    <row r="887" spans="1:10" x14ac:dyDescent="0.25">
      <c r="A887" t="s">
        <v>895</v>
      </c>
      <c r="B887" t="s">
        <v>2091</v>
      </c>
      <c r="C887" t="s">
        <v>2404</v>
      </c>
      <c r="D887">
        <v>4</v>
      </c>
      <c r="E887">
        <v>515.59</v>
      </c>
      <c r="F887" t="s">
        <v>2965</v>
      </c>
      <c r="G887" t="s">
        <v>3063</v>
      </c>
      <c r="H887">
        <v>7</v>
      </c>
      <c r="I887" t="s">
        <v>3070</v>
      </c>
      <c r="J887">
        <v>2062.36</v>
      </c>
    </row>
    <row r="888" spans="1:10" x14ac:dyDescent="0.25">
      <c r="A888" t="s">
        <v>896</v>
      </c>
      <c r="B888" t="s">
        <v>2092</v>
      </c>
      <c r="C888" t="s">
        <v>2400</v>
      </c>
      <c r="D888">
        <v>1</v>
      </c>
      <c r="E888">
        <v>460.13</v>
      </c>
      <c r="F888" t="s">
        <v>2966</v>
      </c>
      <c r="G888" t="s">
        <v>3063</v>
      </c>
      <c r="H888">
        <v>1</v>
      </c>
      <c r="I888" t="s">
        <v>3070</v>
      </c>
      <c r="J888">
        <v>460.13</v>
      </c>
    </row>
    <row r="889" spans="1:10" x14ac:dyDescent="0.25">
      <c r="A889" t="s">
        <v>897</v>
      </c>
      <c r="B889" t="s">
        <v>2093</v>
      </c>
      <c r="C889" t="s">
        <v>2402</v>
      </c>
      <c r="D889">
        <v>3</v>
      </c>
      <c r="E889">
        <v>171.66</v>
      </c>
      <c r="F889" t="s">
        <v>2967</v>
      </c>
      <c r="G889" t="s">
        <v>3061</v>
      </c>
      <c r="H889">
        <v>7</v>
      </c>
      <c r="I889" t="s">
        <v>3070</v>
      </c>
      <c r="J889">
        <v>514.98</v>
      </c>
    </row>
    <row r="890" spans="1:10" x14ac:dyDescent="0.25">
      <c r="A890" t="s">
        <v>898</v>
      </c>
      <c r="B890" t="s">
        <v>2094</v>
      </c>
      <c r="C890" t="s">
        <v>2404</v>
      </c>
      <c r="D890">
        <v>2</v>
      </c>
      <c r="E890">
        <v>266.95</v>
      </c>
      <c r="F890" t="s">
        <v>2968</v>
      </c>
      <c r="G890" t="s">
        <v>3063</v>
      </c>
      <c r="H890">
        <v>3</v>
      </c>
      <c r="I890" t="s">
        <v>3066</v>
      </c>
      <c r="J890">
        <v>533.9</v>
      </c>
    </row>
    <row r="891" spans="1:10" x14ac:dyDescent="0.25">
      <c r="A891" t="s">
        <v>899</v>
      </c>
      <c r="B891" t="s">
        <v>2095</v>
      </c>
      <c r="C891" t="s">
        <v>2399</v>
      </c>
      <c r="D891">
        <v>5</v>
      </c>
      <c r="E891">
        <v>650.72</v>
      </c>
      <c r="F891" t="s">
        <v>2969</v>
      </c>
      <c r="G891" t="s">
        <v>3063</v>
      </c>
      <c r="H891">
        <v>8</v>
      </c>
      <c r="I891" t="s">
        <v>3068</v>
      </c>
      <c r="J891">
        <v>3253.6</v>
      </c>
    </row>
    <row r="892" spans="1:10" x14ac:dyDescent="0.25">
      <c r="A892" t="s">
        <v>900</v>
      </c>
      <c r="B892" t="s">
        <v>2096</v>
      </c>
      <c r="C892" t="s">
        <v>2404</v>
      </c>
      <c r="D892">
        <v>3</v>
      </c>
      <c r="E892">
        <v>439.53</v>
      </c>
      <c r="F892" t="s">
        <v>2777</v>
      </c>
      <c r="G892" t="s">
        <v>3061</v>
      </c>
      <c r="H892">
        <v>5</v>
      </c>
      <c r="I892" t="s">
        <v>3070</v>
      </c>
      <c r="J892">
        <v>1318.59</v>
      </c>
    </row>
    <row r="893" spans="1:10" x14ac:dyDescent="0.25">
      <c r="A893" t="s">
        <v>901</v>
      </c>
      <c r="B893" t="s">
        <v>2097</v>
      </c>
      <c r="C893" t="s">
        <v>2399</v>
      </c>
      <c r="D893">
        <v>3</v>
      </c>
      <c r="E893">
        <v>654.54</v>
      </c>
      <c r="F893" t="s">
        <v>2970</v>
      </c>
      <c r="G893" t="s">
        <v>3065</v>
      </c>
      <c r="H893">
        <v>7</v>
      </c>
      <c r="I893" t="s">
        <v>3067</v>
      </c>
      <c r="J893">
        <v>1963.62</v>
      </c>
    </row>
    <row r="894" spans="1:10" x14ac:dyDescent="0.25">
      <c r="A894" t="s">
        <v>902</v>
      </c>
      <c r="B894" t="s">
        <v>2098</v>
      </c>
      <c r="C894" t="s">
        <v>2405</v>
      </c>
      <c r="D894">
        <v>1</v>
      </c>
      <c r="E894">
        <v>394.53</v>
      </c>
      <c r="F894" t="s">
        <v>2971</v>
      </c>
      <c r="G894" t="s">
        <v>3065</v>
      </c>
      <c r="H894">
        <v>2</v>
      </c>
      <c r="I894" t="s">
        <v>3067</v>
      </c>
      <c r="J894">
        <v>394.53</v>
      </c>
    </row>
    <row r="895" spans="1:10" x14ac:dyDescent="0.25">
      <c r="A895" t="s">
        <v>903</v>
      </c>
      <c r="B895" t="s">
        <v>2099</v>
      </c>
      <c r="C895" t="s">
        <v>2399</v>
      </c>
      <c r="D895">
        <v>1</v>
      </c>
      <c r="E895">
        <v>678.01</v>
      </c>
      <c r="F895" t="s">
        <v>2792</v>
      </c>
      <c r="G895" t="s">
        <v>3065</v>
      </c>
      <c r="H895">
        <v>4</v>
      </c>
      <c r="I895" t="s">
        <v>3067</v>
      </c>
      <c r="J895">
        <v>678.01</v>
      </c>
    </row>
    <row r="896" spans="1:10" x14ac:dyDescent="0.25">
      <c r="A896" t="s">
        <v>904</v>
      </c>
      <c r="B896" t="s">
        <v>2100</v>
      </c>
      <c r="C896" t="s">
        <v>2401</v>
      </c>
      <c r="D896">
        <v>3</v>
      </c>
      <c r="E896">
        <v>575.01</v>
      </c>
      <c r="F896" t="s">
        <v>2807</v>
      </c>
      <c r="G896" t="s">
        <v>3062</v>
      </c>
      <c r="H896">
        <v>8</v>
      </c>
      <c r="I896" t="s">
        <v>3066</v>
      </c>
      <c r="J896">
        <v>1725.03</v>
      </c>
    </row>
    <row r="897" spans="1:10" x14ac:dyDescent="0.25">
      <c r="A897" t="s">
        <v>905</v>
      </c>
      <c r="B897" t="s">
        <v>2101</v>
      </c>
      <c r="C897" t="s">
        <v>2402</v>
      </c>
      <c r="D897">
        <v>3</v>
      </c>
      <c r="E897">
        <v>154.63999999999999</v>
      </c>
      <c r="F897" t="s">
        <v>2972</v>
      </c>
      <c r="G897" t="s">
        <v>3061</v>
      </c>
      <c r="H897">
        <v>6</v>
      </c>
      <c r="I897" t="s">
        <v>3069</v>
      </c>
      <c r="J897">
        <v>463.92</v>
      </c>
    </row>
    <row r="898" spans="1:10" x14ac:dyDescent="0.25">
      <c r="A898" t="s">
        <v>906</v>
      </c>
      <c r="B898" t="s">
        <v>2102</v>
      </c>
      <c r="C898" t="s">
        <v>2405</v>
      </c>
      <c r="D898">
        <v>3</v>
      </c>
      <c r="E898">
        <v>147.29</v>
      </c>
      <c r="F898" t="s">
        <v>2415</v>
      </c>
      <c r="G898" t="s">
        <v>3064</v>
      </c>
      <c r="H898">
        <v>3</v>
      </c>
      <c r="I898" t="s">
        <v>3070</v>
      </c>
      <c r="J898">
        <v>441.87</v>
      </c>
    </row>
    <row r="899" spans="1:10" x14ac:dyDescent="0.25">
      <c r="A899" t="s">
        <v>907</v>
      </c>
      <c r="B899" t="s">
        <v>2103</v>
      </c>
      <c r="C899" t="s">
        <v>2404</v>
      </c>
      <c r="D899">
        <v>4</v>
      </c>
      <c r="E899">
        <v>481.48</v>
      </c>
      <c r="F899" t="s">
        <v>2585</v>
      </c>
      <c r="G899" t="s">
        <v>3064</v>
      </c>
      <c r="H899">
        <v>5</v>
      </c>
      <c r="I899" t="s">
        <v>3066</v>
      </c>
      <c r="J899">
        <v>1925.92</v>
      </c>
    </row>
    <row r="900" spans="1:10" x14ac:dyDescent="0.25">
      <c r="A900" t="s">
        <v>908</v>
      </c>
      <c r="B900" t="s">
        <v>2104</v>
      </c>
      <c r="C900" t="s">
        <v>2399</v>
      </c>
      <c r="D900">
        <v>3</v>
      </c>
      <c r="E900">
        <v>158.37</v>
      </c>
      <c r="F900" t="s">
        <v>2946</v>
      </c>
      <c r="G900" t="s">
        <v>3065</v>
      </c>
      <c r="H900">
        <v>6</v>
      </c>
      <c r="I900" t="s">
        <v>3067</v>
      </c>
      <c r="J900">
        <v>475.11</v>
      </c>
    </row>
    <row r="901" spans="1:10" x14ac:dyDescent="0.25">
      <c r="A901" t="s">
        <v>909</v>
      </c>
      <c r="B901" t="s">
        <v>2105</v>
      </c>
      <c r="C901" t="s">
        <v>2403</v>
      </c>
      <c r="D901">
        <v>2</v>
      </c>
      <c r="E901">
        <v>323.37</v>
      </c>
      <c r="F901" t="s">
        <v>2470</v>
      </c>
      <c r="G901" t="s">
        <v>3062</v>
      </c>
      <c r="H901">
        <v>3</v>
      </c>
      <c r="I901" t="s">
        <v>3066</v>
      </c>
      <c r="J901">
        <v>646.74</v>
      </c>
    </row>
    <row r="902" spans="1:10" x14ac:dyDescent="0.25">
      <c r="A902" t="s">
        <v>910</v>
      </c>
      <c r="B902" t="s">
        <v>2106</v>
      </c>
      <c r="C902" t="s">
        <v>2404</v>
      </c>
      <c r="D902">
        <v>5</v>
      </c>
      <c r="E902">
        <v>73.83</v>
      </c>
      <c r="F902" t="s">
        <v>2798</v>
      </c>
      <c r="G902" t="s">
        <v>3061</v>
      </c>
      <c r="H902">
        <v>9</v>
      </c>
      <c r="I902" t="s">
        <v>3066</v>
      </c>
      <c r="J902">
        <v>369.15</v>
      </c>
    </row>
    <row r="903" spans="1:10" x14ac:dyDescent="0.25">
      <c r="A903" t="s">
        <v>911</v>
      </c>
      <c r="B903" t="s">
        <v>2107</v>
      </c>
      <c r="C903" t="s">
        <v>2401</v>
      </c>
      <c r="D903">
        <v>1</v>
      </c>
      <c r="E903">
        <v>458.63</v>
      </c>
      <c r="F903" t="s">
        <v>2495</v>
      </c>
      <c r="G903" t="s">
        <v>3061</v>
      </c>
      <c r="H903">
        <v>4</v>
      </c>
      <c r="I903" t="s">
        <v>3067</v>
      </c>
      <c r="J903">
        <v>458.63</v>
      </c>
    </row>
    <row r="904" spans="1:10" x14ac:dyDescent="0.25">
      <c r="A904" t="s">
        <v>912</v>
      </c>
      <c r="B904" t="s">
        <v>2108</v>
      </c>
      <c r="C904" t="s">
        <v>2399</v>
      </c>
      <c r="D904">
        <v>4</v>
      </c>
      <c r="E904">
        <v>180.25</v>
      </c>
      <c r="F904" t="s">
        <v>2465</v>
      </c>
      <c r="G904" t="s">
        <v>3061</v>
      </c>
      <c r="H904">
        <v>7</v>
      </c>
      <c r="I904" t="s">
        <v>3069</v>
      </c>
      <c r="J904">
        <v>721</v>
      </c>
    </row>
    <row r="905" spans="1:10" x14ac:dyDescent="0.25">
      <c r="A905" t="s">
        <v>913</v>
      </c>
      <c r="B905" t="s">
        <v>2109</v>
      </c>
      <c r="C905" t="s">
        <v>2399</v>
      </c>
      <c r="D905">
        <v>3</v>
      </c>
      <c r="E905">
        <v>473.49</v>
      </c>
      <c r="F905" t="s">
        <v>2928</v>
      </c>
      <c r="G905" t="s">
        <v>3063</v>
      </c>
      <c r="H905">
        <v>7</v>
      </c>
      <c r="I905" t="s">
        <v>3068</v>
      </c>
      <c r="J905">
        <v>1420.47</v>
      </c>
    </row>
    <row r="906" spans="1:10" x14ac:dyDescent="0.25">
      <c r="A906" t="s">
        <v>914</v>
      </c>
      <c r="B906" t="s">
        <v>2110</v>
      </c>
      <c r="C906" t="s">
        <v>2399</v>
      </c>
      <c r="D906">
        <v>4</v>
      </c>
      <c r="E906">
        <v>237.43</v>
      </c>
      <c r="F906" t="s">
        <v>2754</v>
      </c>
      <c r="G906" t="s">
        <v>3065</v>
      </c>
      <c r="H906">
        <v>8</v>
      </c>
      <c r="I906" t="s">
        <v>3067</v>
      </c>
      <c r="J906">
        <v>949.72</v>
      </c>
    </row>
    <row r="907" spans="1:10" x14ac:dyDescent="0.25">
      <c r="A907" t="s">
        <v>915</v>
      </c>
      <c r="B907" t="s">
        <v>2111</v>
      </c>
      <c r="C907" t="s">
        <v>2404</v>
      </c>
      <c r="D907">
        <v>1</v>
      </c>
      <c r="E907">
        <v>442.39</v>
      </c>
      <c r="F907" t="s">
        <v>2673</v>
      </c>
      <c r="G907" t="s">
        <v>3064</v>
      </c>
      <c r="H907">
        <v>6</v>
      </c>
      <c r="I907" t="s">
        <v>3069</v>
      </c>
      <c r="J907">
        <v>442.39</v>
      </c>
    </row>
    <row r="908" spans="1:10" x14ac:dyDescent="0.25">
      <c r="A908" t="s">
        <v>916</v>
      </c>
      <c r="B908" t="s">
        <v>2112</v>
      </c>
      <c r="C908" t="s">
        <v>2399</v>
      </c>
      <c r="D908">
        <v>1</v>
      </c>
      <c r="E908">
        <v>62.12</v>
      </c>
      <c r="F908" t="s">
        <v>2973</v>
      </c>
      <c r="G908" t="s">
        <v>3065</v>
      </c>
      <c r="H908">
        <v>2</v>
      </c>
      <c r="I908" t="s">
        <v>3068</v>
      </c>
      <c r="J908">
        <v>62.12</v>
      </c>
    </row>
    <row r="909" spans="1:10" x14ac:dyDescent="0.25">
      <c r="A909" t="s">
        <v>917</v>
      </c>
      <c r="B909" t="s">
        <v>2113</v>
      </c>
      <c r="C909" t="s">
        <v>2405</v>
      </c>
      <c r="D909">
        <v>5</v>
      </c>
      <c r="E909">
        <v>298.39</v>
      </c>
      <c r="F909" t="s">
        <v>2530</v>
      </c>
      <c r="G909" t="s">
        <v>3064</v>
      </c>
      <c r="H909">
        <v>7</v>
      </c>
      <c r="I909" t="s">
        <v>3067</v>
      </c>
      <c r="J909">
        <v>1491.95</v>
      </c>
    </row>
    <row r="910" spans="1:10" x14ac:dyDescent="0.25">
      <c r="A910" t="s">
        <v>918</v>
      </c>
      <c r="B910" t="s">
        <v>2114</v>
      </c>
      <c r="C910" t="s">
        <v>2405</v>
      </c>
      <c r="D910">
        <v>2</v>
      </c>
      <c r="E910">
        <v>697.93</v>
      </c>
      <c r="F910" t="s">
        <v>2563</v>
      </c>
      <c r="G910" t="s">
        <v>3063</v>
      </c>
      <c r="H910">
        <v>2</v>
      </c>
      <c r="I910" t="s">
        <v>3070</v>
      </c>
      <c r="J910">
        <v>1395.86</v>
      </c>
    </row>
    <row r="911" spans="1:10" x14ac:dyDescent="0.25">
      <c r="A911" t="s">
        <v>919</v>
      </c>
      <c r="B911" t="s">
        <v>2115</v>
      </c>
      <c r="C911" t="s">
        <v>2401</v>
      </c>
      <c r="D911">
        <v>2</v>
      </c>
      <c r="E911">
        <v>291.85000000000002</v>
      </c>
      <c r="F911" t="s">
        <v>2427</v>
      </c>
      <c r="G911" t="s">
        <v>3065</v>
      </c>
      <c r="H911">
        <v>5</v>
      </c>
      <c r="I911" t="s">
        <v>3066</v>
      </c>
      <c r="J911">
        <v>583.70000000000005</v>
      </c>
    </row>
    <row r="912" spans="1:10" x14ac:dyDescent="0.25">
      <c r="A912" t="s">
        <v>920</v>
      </c>
      <c r="B912" t="s">
        <v>2116</v>
      </c>
      <c r="C912" t="s">
        <v>2403</v>
      </c>
      <c r="D912">
        <v>3</v>
      </c>
      <c r="E912">
        <v>308.98</v>
      </c>
      <c r="F912" t="s">
        <v>2477</v>
      </c>
      <c r="G912" t="s">
        <v>3065</v>
      </c>
      <c r="H912">
        <v>3</v>
      </c>
      <c r="I912" t="s">
        <v>3066</v>
      </c>
      <c r="J912">
        <v>926.94</v>
      </c>
    </row>
    <row r="913" spans="1:10" x14ac:dyDescent="0.25">
      <c r="A913" t="s">
        <v>921</v>
      </c>
      <c r="B913" t="s">
        <v>2117</v>
      </c>
      <c r="C913" t="s">
        <v>2405</v>
      </c>
      <c r="D913">
        <v>5</v>
      </c>
      <c r="E913">
        <v>396.86</v>
      </c>
      <c r="F913" t="s">
        <v>2516</v>
      </c>
      <c r="G913" t="s">
        <v>3065</v>
      </c>
      <c r="H913">
        <v>9</v>
      </c>
      <c r="I913" t="s">
        <v>3066</v>
      </c>
      <c r="J913">
        <v>1984.3</v>
      </c>
    </row>
    <row r="914" spans="1:10" x14ac:dyDescent="0.25">
      <c r="A914" t="s">
        <v>922</v>
      </c>
      <c r="B914" t="s">
        <v>2118</v>
      </c>
      <c r="C914" t="s">
        <v>2405</v>
      </c>
      <c r="D914">
        <v>2</v>
      </c>
      <c r="E914">
        <v>139.69</v>
      </c>
      <c r="F914" t="s">
        <v>2488</v>
      </c>
      <c r="G914" t="s">
        <v>3062</v>
      </c>
      <c r="H914">
        <v>7</v>
      </c>
      <c r="I914" t="s">
        <v>3068</v>
      </c>
      <c r="J914">
        <v>279.38</v>
      </c>
    </row>
    <row r="915" spans="1:10" x14ac:dyDescent="0.25">
      <c r="A915" t="s">
        <v>923</v>
      </c>
      <c r="B915" t="s">
        <v>2119</v>
      </c>
      <c r="C915" t="s">
        <v>2403</v>
      </c>
      <c r="D915">
        <v>5</v>
      </c>
      <c r="E915">
        <v>475.95</v>
      </c>
      <c r="F915" t="s">
        <v>2579</v>
      </c>
      <c r="G915" t="s">
        <v>3063</v>
      </c>
      <c r="H915">
        <v>8</v>
      </c>
      <c r="I915" t="s">
        <v>3069</v>
      </c>
      <c r="J915">
        <v>2379.75</v>
      </c>
    </row>
    <row r="916" spans="1:10" x14ac:dyDescent="0.25">
      <c r="A916" t="s">
        <v>924</v>
      </c>
      <c r="B916" t="s">
        <v>2120</v>
      </c>
      <c r="C916" t="s">
        <v>2405</v>
      </c>
      <c r="D916">
        <v>1</v>
      </c>
      <c r="E916">
        <v>626.6</v>
      </c>
      <c r="F916" t="s">
        <v>2747</v>
      </c>
      <c r="G916" t="s">
        <v>3064</v>
      </c>
      <c r="H916">
        <v>4</v>
      </c>
      <c r="I916" t="s">
        <v>3069</v>
      </c>
      <c r="J916">
        <v>626.6</v>
      </c>
    </row>
    <row r="917" spans="1:10" x14ac:dyDescent="0.25">
      <c r="A917" t="s">
        <v>925</v>
      </c>
      <c r="B917" t="s">
        <v>2121</v>
      </c>
      <c r="C917" t="s">
        <v>2404</v>
      </c>
      <c r="D917">
        <v>4</v>
      </c>
      <c r="E917">
        <v>502.99</v>
      </c>
      <c r="F917" t="s">
        <v>2974</v>
      </c>
      <c r="G917" t="s">
        <v>3061</v>
      </c>
      <c r="H917">
        <v>4</v>
      </c>
      <c r="I917" t="s">
        <v>3067</v>
      </c>
      <c r="J917">
        <v>2011.96</v>
      </c>
    </row>
    <row r="918" spans="1:10" x14ac:dyDescent="0.25">
      <c r="A918" t="s">
        <v>926</v>
      </c>
      <c r="B918" t="s">
        <v>2122</v>
      </c>
      <c r="C918" t="s">
        <v>2403</v>
      </c>
      <c r="D918">
        <v>5</v>
      </c>
      <c r="E918">
        <v>578.83000000000004</v>
      </c>
      <c r="F918" t="s">
        <v>2909</v>
      </c>
      <c r="G918" t="s">
        <v>3065</v>
      </c>
      <c r="H918">
        <v>6</v>
      </c>
      <c r="I918" t="s">
        <v>3067</v>
      </c>
      <c r="J918">
        <v>2894.15</v>
      </c>
    </row>
    <row r="919" spans="1:10" x14ac:dyDescent="0.25">
      <c r="A919" t="s">
        <v>927</v>
      </c>
      <c r="B919" t="s">
        <v>2123</v>
      </c>
      <c r="C919" t="s">
        <v>2404</v>
      </c>
      <c r="D919">
        <v>5</v>
      </c>
      <c r="E919">
        <v>383.82</v>
      </c>
      <c r="F919" t="s">
        <v>2975</v>
      </c>
      <c r="G919" t="s">
        <v>3063</v>
      </c>
      <c r="H919">
        <v>7</v>
      </c>
      <c r="I919" t="s">
        <v>3070</v>
      </c>
      <c r="J919">
        <v>1919.1</v>
      </c>
    </row>
    <row r="920" spans="1:10" x14ac:dyDescent="0.25">
      <c r="A920" t="s">
        <v>928</v>
      </c>
      <c r="B920" t="s">
        <v>2124</v>
      </c>
      <c r="C920" t="s">
        <v>2404</v>
      </c>
      <c r="D920">
        <v>5</v>
      </c>
      <c r="E920">
        <v>368.25</v>
      </c>
      <c r="F920" t="s">
        <v>2413</v>
      </c>
      <c r="G920" t="s">
        <v>3062</v>
      </c>
      <c r="H920">
        <v>5</v>
      </c>
      <c r="I920" t="s">
        <v>3066</v>
      </c>
      <c r="J920">
        <v>1841.25</v>
      </c>
    </row>
    <row r="921" spans="1:10" x14ac:dyDescent="0.25">
      <c r="A921" t="s">
        <v>929</v>
      </c>
      <c r="B921" t="s">
        <v>2125</v>
      </c>
      <c r="C921" t="s">
        <v>2403</v>
      </c>
      <c r="D921">
        <v>2</v>
      </c>
      <c r="E921">
        <v>374.6</v>
      </c>
      <c r="F921" t="s">
        <v>2518</v>
      </c>
      <c r="G921" t="s">
        <v>3062</v>
      </c>
      <c r="H921">
        <v>3</v>
      </c>
      <c r="I921" t="s">
        <v>3067</v>
      </c>
      <c r="J921">
        <v>749.2</v>
      </c>
    </row>
    <row r="922" spans="1:10" x14ac:dyDescent="0.25">
      <c r="A922" t="s">
        <v>930</v>
      </c>
      <c r="B922" t="s">
        <v>2126</v>
      </c>
      <c r="C922" t="s">
        <v>2401</v>
      </c>
      <c r="D922">
        <v>2</v>
      </c>
      <c r="E922">
        <v>428.09</v>
      </c>
      <c r="F922" t="s">
        <v>2670</v>
      </c>
      <c r="G922" t="s">
        <v>3063</v>
      </c>
      <c r="H922">
        <v>6</v>
      </c>
      <c r="I922" t="s">
        <v>3066</v>
      </c>
      <c r="J922">
        <v>856.18</v>
      </c>
    </row>
    <row r="923" spans="1:10" x14ac:dyDescent="0.25">
      <c r="A923" t="s">
        <v>931</v>
      </c>
      <c r="B923" t="s">
        <v>2127</v>
      </c>
      <c r="C923" t="s">
        <v>2401</v>
      </c>
      <c r="D923">
        <v>1</v>
      </c>
      <c r="E923">
        <v>438.93</v>
      </c>
      <c r="F923" t="s">
        <v>2976</v>
      </c>
      <c r="G923" t="s">
        <v>3064</v>
      </c>
      <c r="H923">
        <v>3</v>
      </c>
      <c r="I923" t="s">
        <v>3067</v>
      </c>
      <c r="J923">
        <v>438.93</v>
      </c>
    </row>
    <row r="924" spans="1:10" x14ac:dyDescent="0.25">
      <c r="A924" t="s">
        <v>932</v>
      </c>
      <c r="B924" t="s">
        <v>2128</v>
      </c>
      <c r="C924" t="s">
        <v>2405</v>
      </c>
      <c r="D924">
        <v>2</v>
      </c>
      <c r="E924">
        <v>563.82000000000005</v>
      </c>
      <c r="F924" t="s">
        <v>2977</v>
      </c>
      <c r="G924" t="s">
        <v>3063</v>
      </c>
      <c r="H924">
        <v>3</v>
      </c>
      <c r="I924" t="s">
        <v>3066</v>
      </c>
      <c r="J924">
        <v>1127.6400000000001</v>
      </c>
    </row>
    <row r="925" spans="1:10" x14ac:dyDescent="0.25">
      <c r="A925" t="s">
        <v>933</v>
      </c>
      <c r="B925" t="s">
        <v>2129</v>
      </c>
      <c r="C925" t="s">
        <v>2403</v>
      </c>
      <c r="D925">
        <v>3</v>
      </c>
      <c r="E925">
        <v>649.92999999999995</v>
      </c>
      <c r="F925" t="s">
        <v>2975</v>
      </c>
      <c r="G925" t="s">
        <v>3063</v>
      </c>
      <c r="H925">
        <v>7</v>
      </c>
      <c r="I925" t="s">
        <v>3069</v>
      </c>
      <c r="J925">
        <v>1949.79</v>
      </c>
    </row>
    <row r="926" spans="1:10" x14ac:dyDescent="0.25">
      <c r="A926" t="s">
        <v>934</v>
      </c>
      <c r="B926" t="s">
        <v>2130</v>
      </c>
      <c r="C926" t="s">
        <v>2403</v>
      </c>
      <c r="D926">
        <v>5</v>
      </c>
      <c r="E926">
        <v>268.43</v>
      </c>
      <c r="F926" t="s">
        <v>2798</v>
      </c>
      <c r="G926" t="s">
        <v>3065</v>
      </c>
      <c r="H926">
        <v>5</v>
      </c>
      <c r="I926" t="s">
        <v>3068</v>
      </c>
      <c r="J926">
        <v>1342.15</v>
      </c>
    </row>
    <row r="927" spans="1:10" x14ac:dyDescent="0.25">
      <c r="A927" t="s">
        <v>935</v>
      </c>
      <c r="B927" t="s">
        <v>2131</v>
      </c>
      <c r="C927" t="s">
        <v>2399</v>
      </c>
      <c r="D927">
        <v>5</v>
      </c>
      <c r="E927">
        <v>502.47</v>
      </c>
      <c r="F927" t="s">
        <v>2729</v>
      </c>
      <c r="G927" t="s">
        <v>3062</v>
      </c>
      <c r="H927">
        <v>10</v>
      </c>
      <c r="I927" t="s">
        <v>3068</v>
      </c>
      <c r="J927">
        <v>2512.35</v>
      </c>
    </row>
    <row r="928" spans="1:10" x14ac:dyDescent="0.25">
      <c r="A928" t="s">
        <v>936</v>
      </c>
      <c r="B928" t="s">
        <v>2132</v>
      </c>
      <c r="C928" t="s">
        <v>2405</v>
      </c>
      <c r="D928">
        <v>1</v>
      </c>
      <c r="E928">
        <v>26.95</v>
      </c>
      <c r="F928" t="s">
        <v>2770</v>
      </c>
      <c r="G928" t="s">
        <v>3065</v>
      </c>
      <c r="H928">
        <v>1</v>
      </c>
      <c r="I928" t="s">
        <v>3068</v>
      </c>
      <c r="J928">
        <v>26.95</v>
      </c>
    </row>
    <row r="929" spans="1:10" x14ac:dyDescent="0.25">
      <c r="A929" t="s">
        <v>937</v>
      </c>
      <c r="B929" t="s">
        <v>2133</v>
      </c>
      <c r="C929" t="s">
        <v>2404</v>
      </c>
      <c r="D929">
        <v>4</v>
      </c>
      <c r="E929">
        <v>64.69</v>
      </c>
      <c r="F929" t="s">
        <v>2869</v>
      </c>
      <c r="G929" t="s">
        <v>3061</v>
      </c>
      <c r="H929">
        <v>7</v>
      </c>
      <c r="I929" t="s">
        <v>3070</v>
      </c>
      <c r="J929">
        <v>258.76</v>
      </c>
    </row>
    <row r="930" spans="1:10" x14ac:dyDescent="0.25">
      <c r="A930" t="s">
        <v>938</v>
      </c>
      <c r="B930" t="s">
        <v>2134</v>
      </c>
      <c r="C930" t="s">
        <v>2404</v>
      </c>
      <c r="D930">
        <v>3</v>
      </c>
      <c r="E930">
        <v>247.11</v>
      </c>
      <c r="F930" t="s">
        <v>2624</v>
      </c>
      <c r="G930" t="s">
        <v>3061</v>
      </c>
      <c r="H930">
        <v>3</v>
      </c>
      <c r="I930" t="s">
        <v>3067</v>
      </c>
      <c r="J930">
        <v>741.33</v>
      </c>
    </row>
    <row r="931" spans="1:10" x14ac:dyDescent="0.25">
      <c r="A931" t="s">
        <v>939</v>
      </c>
      <c r="B931" t="s">
        <v>2135</v>
      </c>
      <c r="C931" t="s">
        <v>2401</v>
      </c>
      <c r="D931">
        <v>2</v>
      </c>
      <c r="E931">
        <v>536.25</v>
      </c>
      <c r="F931" t="s">
        <v>2564</v>
      </c>
      <c r="G931" t="s">
        <v>3061</v>
      </c>
      <c r="H931">
        <v>3</v>
      </c>
      <c r="I931" t="s">
        <v>3068</v>
      </c>
      <c r="J931">
        <v>1072.5</v>
      </c>
    </row>
    <row r="932" spans="1:10" x14ac:dyDescent="0.25">
      <c r="A932" t="s">
        <v>940</v>
      </c>
      <c r="B932" t="s">
        <v>2136</v>
      </c>
      <c r="C932" t="s">
        <v>2400</v>
      </c>
      <c r="D932">
        <v>2</v>
      </c>
      <c r="E932">
        <v>456.04</v>
      </c>
      <c r="F932" t="s">
        <v>2423</v>
      </c>
      <c r="G932" t="s">
        <v>3061</v>
      </c>
      <c r="H932">
        <v>4</v>
      </c>
      <c r="I932" t="s">
        <v>3068</v>
      </c>
      <c r="J932">
        <v>912.08</v>
      </c>
    </row>
    <row r="933" spans="1:10" x14ac:dyDescent="0.25">
      <c r="A933" t="s">
        <v>941</v>
      </c>
      <c r="B933" t="s">
        <v>2137</v>
      </c>
      <c r="C933" t="s">
        <v>2403</v>
      </c>
      <c r="D933">
        <v>2</v>
      </c>
      <c r="E933">
        <v>40.229999999999997</v>
      </c>
      <c r="F933" t="s">
        <v>2456</v>
      </c>
      <c r="G933" t="s">
        <v>3063</v>
      </c>
      <c r="H933">
        <v>4</v>
      </c>
      <c r="I933" t="s">
        <v>3070</v>
      </c>
      <c r="J933">
        <v>80.459999999999994</v>
      </c>
    </row>
    <row r="934" spans="1:10" x14ac:dyDescent="0.25">
      <c r="A934" t="s">
        <v>942</v>
      </c>
      <c r="B934" t="s">
        <v>2138</v>
      </c>
      <c r="C934" t="s">
        <v>2404</v>
      </c>
      <c r="D934">
        <v>2</v>
      </c>
      <c r="E934">
        <v>72.39</v>
      </c>
      <c r="F934" t="s">
        <v>2978</v>
      </c>
      <c r="G934" t="s">
        <v>3062</v>
      </c>
      <c r="H934">
        <v>7</v>
      </c>
      <c r="I934" t="s">
        <v>3066</v>
      </c>
      <c r="J934">
        <v>144.78</v>
      </c>
    </row>
    <row r="935" spans="1:10" x14ac:dyDescent="0.25">
      <c r="A935" t="s">
        <v>943</v>
      </c>
      <c r="B935" t="s">
        <v>2139</v>
      </c>
      <c r="C935" t="s">
        <v>2399</v>
      </c>
      <c r="D935">
        <v>2</v>
      </c>
      <c r="E935">
        <v>394.16</v>
      </c>
      <c r="F935" t="s">
        <v>2613</v>
      </c>
      <c r="G935" t="s">
        <v>3062</v>
      </c>
      <c r="H935">
        <v>2</v>
      </c>
      <c r="I935" t="s">
        <v>3067</v>
      </c>
      <c r="J935">
        <v>788.32</v>
      </c>
    </row>
    <row r="936" spans="1:10" x14ac:dyDescent="0.25">
      <c r="A936" t="s">
        <v>944</v>
      </c>
      <c r="B936" t="s">
        <v>2140</v>
      </c>
      <c r="C936" t="s">
        <v>2404</v>
      </c>
      <c r="D936">
        <v>4</v>
      </c>
      <c r="E936">
        <v>119.84</v>
      </c>
      <c r="F936" t="s">
        <v>2600</v>
      </c>
      <c r="G936" t="s">
        <v>3064</v>
      </c>
      <c r="H936">
        <v>8</v>
      </c>
      <c r="I936" t="s">
        <v>3067</v>
      </c>
      <c r="J936">
        <v>479.36</v>
      </c>
    </row>
    <row r="937" spans="1:10" x14ac:dyDescent="0.25">
      <c r="A937" t="s">
        <v>945</v>
      </c>
      <c r="B937" t="s">
        <v>2141</v>
      </c>
      <c r="C937" t="s">
        <v>2400</v>
      </c>
      <c r="D937">
        <v>3</v>
      </c>
      <c r="E937">
        <v>692.71</v>
      </c>
      <c r="F937" t="s">
        <v>2688</v>
      </c>
      <c r="G937" t="s">
        <v>3063</v>
      </c>
      <c r="H937">
        <v>3</v>
      </c>
      <c r="I937" t="s">
        <v>3066</v>
      </c>
      <c r="J937">
        <v>2078.13</v>
      </c>
    </row>
    <row r="938" spans="1:10" x14ac:dyDescent="0.25">
      <c r="A938" t="s">
        <v>946</v>
      </c>
      <c r="B938" t="s">
        <v>2142</v>
      </c>
      <c r="C938" t="s">
        <v>2402</v>
      </c>
      <c r="D938">
        <v>4</v>
      </c>
      <c r="E938">
        <v>56.66</v>
      </c>
      <c r="F938" t="s">
        <v>2550</v>
      </c>
      <c r="G938" t="s">
        <v>3062</v>
      </c>
      <c r="H938">
        <v>4</v>
      </c>
      <c r="I938" t="s">
        <v>3066</v>
      </c>
      <c r="J938">
        <v>226.64</v>
      </c>
    </row>
    <row r="939" spans="1:10" x14ac:dyDescent="0.25">
      <c r="A939" t="s">
        <v>947</v>
      </c>
      <c r="B939" t="s">
        <v>2143</v>
      </c>
      <c r="C939" t="s">
        <v>2402</v>
      </c>
      <c r="D939">
        <v>2</v>
      </c>
      <c r="E939">
        <v>298.52999999999997</v>
      </c>
      <c r="F939" t="s">
        <v>2731</v>
      </c>
      <c r="G939" t="s">
        <v>3061</v>
      </c>
      <c r="H939">
        <v>5</v>
      </c>
      <c r="I939" t="s">
        <v>3068</v>
      </c>
      <c r="J939">
        <v>597.05999999999995</v>
      </c>
    </row>
    <row r="940" spans="1:10" x14ac:dyDescent="0.25">
      <c r="A940" t="s">
        <v>948</v>
      </c>
      <c r="B940" t="s">
        <v>2144</v>
      </c>
      <c r="C940" t="s">
        <v>2402</v>
      </c>
      <c r="D940">
        <v>3</v>
      </c>
      <c r="E940">
        <v>331.46</v>
      </c>
      <c r="F940" t="s">
        <v>2792</v>
      </c>
      <c r="G940" t="s">
        <v>3063</v>
      </c>
      <c r="H940">
        <v>6</v>
      </c>
      <c r="I940" t="s">
        <v>3067</v>
      </c>
      <c r="J940">
        <v>994.37999999999988</v>
      </c>
    </row>
    <row r="941" spans="1:10" x14ac:dyDescent="0.25">
      <c r="A941" t="s">
        <v>949</v>
      </c>
      <c r="B941" t="s">
        <v>2145</v>
      </c>
      <c r="C941" t="s">
        <v>2404</v>
      </c>
      <c r="D941">
        <v>2</v>
      </c>
      <c r="E941">
        <v>521.4</v>
      </c>
      <c r="F941" t="s">
        <v>2979</v>
      </c>
      <c r="G941" t="s">
        <v>3065</v>
      </c>
      <c r="H941">
        <v>7</v>
      </c>
      <c r="I941" t="s">
        <v>3066</v>
      </c>
      <c r="J941">
        <v>1042.8</v>
      </c>
    </row>
    <row r="942" spans="1:10" x14ac:dyDescent="0.25">
      <c r="A942" t="s">
        <v>950</v>
      </c>
      <c r="B942" t="s">
        <v>2146</v>
      </c>
      <c r="C942" t="s">
        <v>2403</v>
      </c>
      <c r="D942">
        <v>4</v>
      </c>
      <c r="E942">
        <v>305.32</v>
      </c>
      <c r="F942" t="s">
        <v>2980</v>
      </c>
      <c r="G942" t="s">
        <v>3062</v>
      </c>
      <c r="H942">
        <v>4</v>
      </c>
      <c r="I942" t="s">
        <v>3070</v>
      </c>
      <c r="J942">
        <v>1221.28</v>
      </c>
    </row>
    <row r="943" spans="1:10" x14ac:dyDescent="0.25">
      <c r="A943" t="s">
        <v>951</v>
      </c>
      <c r="B943" t="s">
        <v>1649</v>
      </c>
      <c r="C943" t="s">
        <v>2403</v>
      </c>
      <c r="D943">
        <v>5</v>
      </c>
      <c r="E943">
        <v>111.7</v>
      </c>
      <c r="F943" t="s">
        <v>2686</v>
      </c>
      <c r="G943" t="s">
        <v>3063</v>
      </c>
      <c r="H943">
        <v>9</v>
      </c>
      <c r="I943" t="s">
        <v>3068</v>
      </c>
      <c r="J943">
        <v>558.5</v>
      </c>
    </row>
    <row r="944" spans="1:10" x14ac:dyDescent="0.25">
      <c r="A944" t="s">
        <v>952</v>
      </c>
      <c r="B944" t="s">
        <v>2147</v>
      </c>
      <c r="C944" t="s">
        <v>2401</v>
      </c>
      <c r="D944">
        <v>1</v>
      </c>
      <c r="E944">
        <v>479.76</v>
      </c>
      <c r="F944" t="s">
        <v>2595</v>
      </c>
      <c r="G944" t="s">
        <v>3063</v>
      </c>
      <c r="H944">
        <v>1</v>
      </c>
      <c r="I944" t="s">
        <v>3068</v>
      </c>
      <c r="J944">
        <v>479.76</v>
      </c>
    </row>
    <row r="945" spans="1:10" x14ac:dyDescent="0.25">
      <c r="A945" t="s">
        <v>953</v>
      </c>
      <c r="B945" t="s">
        <v>2148</v>
      </c>
      <c r="C945" t="s">
        <v>2399</v>
      </c>
      <c r="D945">
        <v>3</v>
      </c>
      <c r="E945">
        <v>193.49</v>
      </c>
      <c r="F945" t="s">
        <v>2981</v>
      </c>
      <c r="G945" t="s">
        <v>3064</v>
      </c>
      <c r="H945">
        <v>6</v>
      </c>
      <c r="I945" t="s">
        <v>3069</v>
      </c>
      <c r="J945">
        <v>580.47</v>
      </c>
    </row>
    <row r="946" spans="1:10" x14ac:dyDescent="0.25">
      <c r="A946" t="s">
        <v>954</v>
      </c>
      <c r="B946" t="s">
        <v>2149</v>
      </c>
      <c r="C946" t="s">
        <v>2404</v>
      </c>
      <c r="D946">
        <v>2</v>
      </c>
      <c r="E946">
        <v>426.22</v>
      </c>
      <c r="F946" t="s">
        <v>2960</v>
      </c>
      <c r="G946" t="s">
        <v>3062</v>
      </c>
      <c r="H946">
        <v>7</v>
      </c>
      <c r="I946" t="s">
        <v>3070</v>
      </c>
      <c r="J946">
        <v>852.44</v>
      </c>
    </row>
    <row r="947" spans="1:10" x14ac:dyDescent="0.25">
      <c r="A947" t="s">
        <v>955</v>
      </c>
      <c r="B947" t="s">
        <v>2150</v>
      </c>
      <c r="C947" t="s">
        <v>2401</v>
      </c>
      <c r="D947">
        <v>5</v>
      </c>
      <c r="E947">
        <v>276.44</v>
      </c>
      <c r="F947" t="s">
        <v>2691</v>
      </c>
      <c r="G947" t="s">
        <v>3064</v>
      </c>
      <c r="H947">
        <v>10</v>
      </c>
      <c r="I947" t="s">
        <v>3067</v>
      </c>
      <c r="J947">
        <v>1382.2</v>
      </c>
    </row>
    <row r="948" spans="1:10" x14ac:dyDescent="0.25">
      <c r="A948" t="s">
        <v>956</v>
      </c>
      <c r="B948" t="s">
        <v>2151</v>
      </c>
      <c r="C948" t="s">
        <v>2400</v>
      </c>
      <c r="D948">
        <v>2</v>
      </c>
      <c r="E948">
        <v>404.96</v>
      </c>
      <c r="F948" t="s">
        <v>2680</v>
      </c>
      <c r="G948" t="s">
        <v>3065</v>
      </c>
      <c r="H948">
        <v>4</v>
      </c>
      <c r="I948" t="s">
        <v>3068</v>
      </c>
      <c r="J948">
        <v>809.92</v>
      </c>
    </row>
    <row r="949" spans="1:10" x14ac:dyDescent="0.25">
      <c r="A949" t="s">
        <v>957</v>
      </c>
      <c r="B949" t="s">
        <v>2152</v>
      </c>
      <c r="C949" t="s">
        <v>2400</v>
      </c>
      <c r="D949">
        <v>4</v>
      </c>
      <c r="E949">
        <v>465.66</v>
      </c>
      <c r="F949" t="s">
        <v>2638</v>
      </c>
      <c r="G949" t="s">
        <v>3062</v>
      </c>
      <c r="H949">
        <v>9</v>
      </c>
      <c r="I949" t="s">
        <v>3068</v>
      </c>
      <c r="J949">
        <v>1862.64</v>
      </c>
    </row>
    <row r="950" spans="1:10" x14ac:dyDescent="0.25">
      <c r="A950" t="s">
        <v>958</v>
      </c>
      <c r="B950" t="s">
        <v>1655</v>
      </c>
      <c r="C950" t="s">
        <v>2400</v>
      </c>
      <c r="D950">
        <v>2</v>
      </c>
      <c r="E950">
        <v>594.07000000000005</v>
      </c>
      <c r="F950" t="s">
        <v>2767</v>
      </c>
      <c r="G950" t="s">
        <v>3064</v>
      </c>
      <c r="H950">
        <v>2</v>
      </c>
      <c r="I950" t="s">
        <v>3070</v>
      </c>
      <c r="J950">
        <v>1188.1400000000001</v>
      </c>
    </row>
    <row r="951" spans="1:10" x14ac:dyDescent="0.25">
      <c r="A951" t="s">
        <v>959</v>
      </c>
      <c r="B951" t="s">
        <v>2153</v>
      </c>
      <c r="C951" t="s">
        <v>2405</v>
      </c>
      <c r="D951">
        <v>5</v>
      </c>
      <c r="E951">
        <v>110.38</v>
      </c>
      <c r="F951" t="s">
        <v>2728</v>
      </c>
      <c r="G951" t="s">
        <v>3065</v>
      </c>
      <c r="H951">
        <v>10</v>
      </c>
      <c r="I951" t="s">
        <v>3067</v>
      </c>
      <c r="J951">
        <v>551.9</v>
      </c>
    </row>
    <row r="952" spans="1:10" x14ac:dyDescent="0.25">
      <c r="A952" t="s">
        <v>960</v>
      </c>
      <c r="B952" t="s">
        <v>2154</v>
      </c>
      <c r="C952" t="s">
        <v>2404</v>
      </c>
      <c r="D952">
        <v>1</v>
      </c>
      <c r="E952">
        <v>596.24</v>
      </c>
      <c r="F952" t="s">
        <v>2424</v>
      </c>
      <c r="G952" t="s">
        <v>3063</v>
      </c>
      <c r="H952">
        <v>4</v>
      </c>
      <c r="I952" t="s">
        <v>3066</v>
      </c>
      <c r="J952">
        <v>596.24</v>
      </c>
    </row>
    <row r="953" spans="1:10" x14ac:dyDescent="0.25">
      <c r="A953" t="s">
        <v>961</v>
      </c>
      <c r="B953" t="s">
        <v>2155</v>
      </c>
      <c r="C953" t="s">
        <v>2403</v>
      </c>
      <c r="D953">
        <v>2</v>
      </c>
      <c r="E953">
        <v>306.24</v>
      </c>
      <c r="F953" t="s">
        <v>2633</v>
      </c>
      <c r="G953" t="s">
        <v>3062</v>
      </c>
      <c r="H953">
        <v>4</v>
      </c>
      <c r="I953" t="s">
        <v>3068</v>
      </c>
      <c r="J953">
        <v>612.48</v>
      </c>
    </row>
    <row r="954" spans="1:10" x14ac:dyDescent="0.25">
      <c r="A954" t="s">
        <v>962</v>
      </c>
      <c r="B954" t="s">
        <v>2156</v>
      </c>
      <c r="C954" t="s">
        <v>2399</v>
      </c>
      <c r="D954">
        <v>3</v>
      </c>
      <c r="E954">
        <v>503.39</v>
      </c>
      <c r="F954" t="s">
        <v>2982</v>
      </c>
      <c r="G954" t="s">
        <v>3062</v>
      </c>
      <c r="H954">
        <v>5</v>
      </c>
      <c r="I954" t="s">
        <v>3069</v>
      </c>
      <c r="J954">
        <v>1510.17</v>
      </c>
    </row>
    <row r="955" spans="1:10" x14ac:dyDescent="0.25">
      <c r="A955" t="s">
        <v>963</v>
      </c>
      <c r="B955" t="s">
        <v>2157</v>
      </c>
      <c r="C955" t="s">
        <v>2400</v>
      </c>
      <c r="D955">
        <v>1</v>
      </c>
      <c r="E955">
        <v>131.61000000000001</v>
      </c>
      <c r="F955" t="s">
        <v>2482</v>
      </c>
      <c r="G955" t="s">
        <v>3065</v>
      </c>
      <c r="H955">
        <v>2</v>
      </c>
      <c r="I955" t="s">
        <v>3069</v>
      </c>
      <c r="J955">
        <v>131.61000000000001</v>
      </c>
    </row>
    <row r="956" spans="1:10" x14ac:dyDescent="0.25">
      <c r="A956" t="s">
        <v>964</v>
      </c>
      <c r="B956" t="s">
        <v>2158</v>
      </c>
      <c r="C956" t="s">
        <v>2402</v>
      </c>
      <c r="D956">
        <v>3</v>
      </c>
      <c r="E956">
        <v>443.44</v>
      </c>
      <c r="F956" t="s">
        <v>2552</v>
      </c>
      <c r="G956" t="s">
        <v>3064</v>
      </c>
      <c r="H956">
        <v>3</v>
      </c>
      <c r="I956" t="s">
        <v>3070</v>
      </c>
      <c r="J956">
        <v>1330.32</v>
      </c>
    </row>
    <row r="957" spans="1:10" x14ac:dyDescent="0.25">
      <c r="A957" t="s">
        <v>965</v>
      </c>
      <c r="B957" t="s">
        <v>2159</v>
      </c>
      <c r="C957" t="s">
        <v>2402</v>
      </c>
      <c r="D957">
        <v>1</v>
      </c>
      <c r="E957">
        <v>408.13</v>
      </c>
      <c r="F957" t="s">
        <v>2619</v>
      </c>
      <c r="G957" t="s">
        <v>3064</v>
      </c>
      <c r="H957">
        <v>3</v>
      </c>
      <c r="I957" t="s">
        <v>3066</v>
      </c>
      <c r="J957">
        <v>408.13</v>
      </c>
    </row>
    <row r="958" spans="1:10" x14ac:dyDescent="0.25">
      <c r="A958" t="s">
        <v>966</v>
      </c>
      <c r="B958" t="s">
        <v>1991</v>
      </c>
      <c r="C958" t="s">
        <v>2400</v>
      </c>
      <c r="D958">
        <v>2</v>
      </c>
      <c r="E958">
        <v>160.97999999999999</v>
      </c>
      <c r="F958" t="s">
        <v>2983</v>
      </c>
      <c r="G958" t="s">
        <v>3061</v>
      </c>
      <c r="H958">
        <v>3</v>
      </c>
      <c r="I958" t="s">
        <v>3067</v>
      </c>
      <c r="J958">
        <v>321.95999999999998</v>
      </c>
    </row>
    <row r="959" spans="1:10" x14ac:dyDescent="0.25">
      <c r="A959" t="s">
        <v>967</v>
      </c>
      <c r="B959" t="s">
        <v>2160</v>
      </c>
      <c r="C959" t="s">
        <v>2399</v>
      </c>
      <c r="D959">
        <v>5</v>
      </c>
      <c r="E959">
        <v>643.89</v>
      </c>
      <c r="F959" t="s">
        <v>2984</v>
      </c>
      <c r="G959" t="s">
        <v>3065</v>
      </c>
      <c r="H959">
        <v>8</v>
      </c>
      <c r="I959" t="s">
        <v>3069</v>
      </c>
      <c r="J959">
        <v>3219.45</v>
      </c>
    </row>
    <row r="960" spans="1:10" x14ac:dyDescent="0.25">
      <c r="A960" t="s">
        <v>968</v>
      </c>
      <c r="B960" t="s">
        <v>2161</v>
      </c>
      <c r="C960" t="s">
        <v>2405</v>
      </c>
      <c r="D960">
        <v>3</v>
      </c>
      <c r="E960">
        <v>158.66</v>
      </c>
      <c r="F960" t="s">
        <v>2652</v>
      </c>
      <c r="G960" t="s">
        <v>3064</v>
      </c>
      <c r="H960">
        <v>7</v>
      </c>
      <c r="I960" t="s">
        <v>3068</v>
      </c>
      <c r="J960">
        <v>475.98</v>
      </c>
    </row>
    <row r="961" spans="1:10" x14ac:dyDescent="0.25">
      <c r="A961" t="s">
        <v>969</v>
      </c>
      <c r="B961" t="s">
        <v>2162</v>
      </c>
      <c r="C961" t="s">
        <v>2401</v>
      </c>
      <c r="D961">
        <v>2</v>
      </c>
      <c r="E961">
        <v>143.82</v>
      </c>
      <c r="F961" t="s">
        <v>2658</v>
      </c>
      <c r="G961" t="s">
        <v>3063</v>
      </c>
      <c r="H961">
        <v>6</v>
      </c>
      <c r="I961" t="s">
        <v>3066</v>
      </c>
      <c r="J961">
        <v>287.64</v>
      </c>
    </row>
    <row r="962" spans="1:10" x14ac:dyDescent="0.25">
      <c r="A962" t="s">
        <v>970</v>
      </c>
      <c r="B962" t="s">
        <v>2163</v>
      </c>
      <c r="C962" t="s">
        <v>2404</v>
      </c>
      <c r="D962">
        <v>3</v>
      </c>
      <c r="E962">
        <v>379.07</v>
      </c>
      <c r="F962" t="s">
        <v>2710</v>
      </c>
      <c r="G962" t="s">
        <v>3064</v>
      </c>
      <c r="H962">
        <v>3</v>
      </c>
      <c r="I962" t="s">
        <v>3070</v>
      </c>
      <c r="J962">
        <v>1137.21</v>
      </c>
    </row>
    <row r="963" spans="1:10" x14ac:dyDescent="0.25">
      <c r="A963" t="s">
        <v>971</v>
      </c>
      <c r="B963" t="s">
        <v>2164</v>
      </c>
      <c r="C963" t="s">
        <v>2400</v>
      </c>
      <c r="D963">
        <v>1</v>
      </c>
      <c r="E963">
        <v>601.36</v>
      </c>
      <c r="F963" t="s">
        <v>2681</v>
      </c>
      <c r="G963" t="s">
        <v>3062</v>
      </c>
      <c r="H963">
        <v>1</v>
      </c>
      <c r="I963" t="s">
        <v>3069</v>
      </c>
      <c r="J963">
        <v>601.36</v>
      </c>
    </row>
    <row r="964" spans="1:10" x14ac:dyDescent="0.25">
      <c r="A964" t="s">
        <v>972</v>
      </c>
      <c r="B964" t="s">
        <v>2165</v>
      </c>
      <c r="C964" t="s">
        <v>2400</v>
      </c>
      <c r="D964">
        <v>2</v>
      </c>
      <c r="E964">
        <v>142.08000000000001</v>
      </c>
      <c r="F964" t="s">
        <v>2617</v>
      </c>
      <c r="G964" t="s">
        <v>3064</v>
      </c>
      <c r="H964">
        <v>4</v>
      </c>
      <c r="I964" t="s">
        <v>3067</v>
      </c>
      <c r="J964">
        <v>284.16000000000003</v>
      </c>
    </row>
    <row r="965" spans="1:10" x14ac:dyDescent="0.25">
      <c r="A965" t="s">
        <v>973</v>
      </c>
      <c r="B965" t="s">
        <v>2166</v>
      </c>
      <c r="C965" t="s">
        <v>2402</v>
      </c>
      <c r="D965">
        <v>5</v>
      </c>
      <c r="E965">
        <v>530.34</v>
      </c>
      <c r="F965" t="s">
        <v>2568</v>
      </c>
      <c r="G965" t="s">
        <v>3062</v>
      </c>
      <c r="H965">
        <v>9</v>
      </c>
      <c r="I965" t="s">
        <v>3070</v>
      </c>
      <c r="J965">
        <v>2651.7</v>
      </c>
    </row>
    <row r="966" spans="1:10" x14ac:dyDescent="0.25">
      <c r="A966" t="s">
        <v>974</v>
      </c>
      <c r="B966" t="s">
        <v>2167</v>
      </c>
      <c r="C966" t="s">
        <v>2400</v>
      </c>
      <c r="D966">
        <v>5</v>
      </c>
      <c r="E966">
        <v>364.42</v>
      </c>
      <c r="F966" t="s">
        <v>2726</v>
      </c>
      <c r="G966" t="s">
        <v>3063</v>
      </c>
      <c r="H966">
        <v>10</v>
      </c>
      <c r="I966" t="s">
        <v>3067</v>
      </c>
      <c r="J966">
        <v>1822.1</v>
      </c>
    </row>
    <row r="967" spans="1:10" x14ac:dyDescent="0.25">
      <c r="A967" t="s">
        <v>975</v>
      </c>
      <c r="B967" t="s">
        <v>2168</v>
      </c>
      <c r="C967" t="s">
        <v>2404</v>
      </c>
      <c r="D967">
        <v>4</v>
      </c>
      <c r="E967">
        <v>578.28</v>
      </c>
      <c r="F967" t="s">
        <v>2637</v>
      </c>
      <c r="G967" t="s">
        <v>3064</v>
      </c>
      <c r="H967">
        <v>5</v>
      </c>
      <c r="I967" t="s">
        <v>3068</v>
      </c>
      <c r="J967">
        <v>2313.12</v>
      </c>
    </row>
    <row r="968" spans="1:10" x14ac:dyDescent="0.25">
      <c r="A968" t="s">
        <v>976</v>
      </c>
      <c r="B968" t="s">
        <v>2169</v>
      </c>
      <c r="C968" t="s">
        <v>2399</v>
      </c>
      <c r="D968">
        <v>5</v>
      </c>
      <c r="E968">
        <v>280.52</v>
      </c>
      <c r="F968" t="s">
        <v>2985</v>
      </c>
      <c r="G968" t="s">
        <v>3063</v>
      </c>
      <c r="H968">
        <v>7</v>
      </c>
      <c r="I968" t="s">
        <v>3069</v>
      </c>
      <c r="J968">
        <v>1402.6</v>
      </c>
    </row>
    <row r="969" spans="1:10" x14ac:dyDescent="0.25">
      <c r="A969" t="s">
        <v>977</v>
      </c>
      <c r="B969" t="s">
        <v>2170</v>
      </c>
      <c r="C969" t="s">
        <v>2401</v>
      </c>
      <c r="D969">
        <v>5</v>
      </c>
      <c r="E969">
        <v>638.91999999999996</v>
      </c>
      <c r="F969" t="s">
        <v>2986</v>
      </c>
      <c r="G969" t="s">
        <v>3063</v>
      </c>
      <c r="H969">
        <v>5</v>
      </c>
      <c r="I969" t="s">
        <v>3070</v>
      </c>
      <c r="J969">
        <v>3194.6</v>
      </c>
    </row>
    <row r="970" spans="1:10" x14ac:dyDescent="0.25">
      <c r="A970" t="s">
        <v>978</v>
      </c>
      <c r="B970" t="s">
        <v>2171</v>
      </c>
      <c r="C970" t="s">
        <v>2399</v>
      </c>
      <c r="D970">
        <v>4</v>
      </c>
      <c r="E970">
        <v>412.2</v>
      </c>
      <c r="F970" t="s">
        <v>2939</v>
      </c>
      <c r="G970" t="s">
        <v>3063</v>
      </c>
      <c r="H970">
        <v>6</v>
      </c>
      <c r="I970" t="s">
        <v>3067</v>
      </c>
      <c r="J970">
        <v>1648.8</v>
      </c>
    </row>
    <row r="971" spans="1:10" x14ac:dyDescent="0.25">
      <c r="A971" t="s">
        <v>979</v>
      </c>
      <c r="B971" t="s">
        <v>2172</v>
      </c>
      <c r="C971" t="s">
        <v>2405</v>
      </c>
      <c r="D971">
        <v>1</v>
      </c>
      <c r="E971">
        <v>440.34</v>
      </c>
      <c r="F971" t="s">
        <v>2987</v>
      </c>
      <c r="G971" t="s">
        <v>3064</v>
      </c>
      <c r="H971">
        <v>2</v>
      </c>
      <c r="I971" t="s">
        <v>3069</v>
      </c>
      <c r="J971">
        <v>440.34</v>
      </c>
    </row>
    <row r="972" spans="1:10" x14ac:dyDescent="0.25">
      <c r="A972" t="s">
        <v>980</v>
      </c>
      <c r="B972" t="s">
        <v>2173</v>
      </c>
      <c r="C972" t="s">
        <v>2405</v>
      </c>
      <c r="D972">
        <v>1</v>
      </c>
      <c r="E972">
        <v>627.15</v>
      </c>
      <c r="F972" t="s">
        <v>2988</v>
      </c>
      <c r="G972" t="s">
        <v>3065</v>
      </c>
      <c r="H972">
        <v>5</v>
      </c>
      <c r="I972" t="s">
        <v>3066</v>
      </c>
      <c r="J972">
        <v>627.15</v>
      </c>
    </row>
    <row r="973" spans="1:10" x14ac:dyDescent="0.25">
      <c r="A973" t="s">
        <v>981</v>
      </c>
      <c r="B973" t="s">
        <v>2174</v>
      </c>
      <c r="C973" t="s">
        <v>2399</v>
      </c>
      <c r="D973">
        <v>2</v>
      </c>
      <c r="E973">
        <v>605.26</v>
      </c>
      <c r="F973" t="s">
        <v>2411</v>
      </c>
      <c r="G973" t="s">
        <v>3065</v>
      </c>
      <c r="H973">
        <v>4</v>
      </c>
      <c r="I973" t="s">
        <v>3067</v>
      </c>
      <c r="J973">
        <v>1210.52</v>
      </c>
    </row>
    <row r="974" spans="1:10" x14ac:dyDescent="0.25">
      <c r="A974" t="s">
        <v>982</v>
      </c>
      <c r="B974" t="s">
        <v>2175</v>
      </c>
      <c r="C974" t="s">
        <v>2404</v>
      </c>
      <c r="D974">
        <v>1</v>
      </c>
      <c r="E974">
        <v>90.27</v>
      </c>
      <c r="F974" t="s">
        <v>2989</v>
      </c>
      <c r="G974" t="s">
        <v>3065</v>
      </c>
      <c r="H974">
        <v>5</v>
      </c>
      <c r="I974" t="s">
        <v>3069</v>
      </c>
      <c r="J974">
        <v>90.27</v>
      </c>
    </row>
    <row r="975" spans="1:10" x14ac:dyDescent="0.25">
      <c r="A975" t="s">
        <v>983</v>
      </c>
      <c r="B975" t="s">
        <v>2176</v>
      </c>
      <c r="C975" t="s">
        <v>2405</v>
      </c>
      <c r="D975">
        <v>5</v>
      </c>
      <c r="E975">
        <v>230.77</v>
      </c>
      <c r="F975" t="s">
        <v>2973</v>
      </c>
      <c r="G975" t="s">
        <v>3062</v>
      </c>
      <c r="H975">
        <v>10</v>
      </c>
      <c r="I975" t="s">
        <v>3067</v>
      </c>
      <c r="J975">
        <v>1153.8499999999999</v>
      </c>
    </row>
    <row r="976" spans="1:10" x14ac:dyDescent="0.25">
      <c r="A976" t="s">
        <v>984</v>
      </c>
      <c r="B976" t="s">
        <v>2177</v>
      </c>
      <c r="C976" t="s">
        <v>2405</v>
      </c>
      <c r="D976">
        <v>5</v>
      </c>
      <c r="E976">
        <v>266.77999999999997</v>
      </c>
      <c r="F976" t="s">
        <v>2669</v>
      </c>
      <c r="G976" t="s">
        <v>3064</v>
      </c>
      <c r="H976">
        <v>5</v>
      </c>
      <c r="I976" t="s">
        <v>3068</v>
      </c>
      <c r="J976">
        <v>1333.9</v>
      </c>
    </row>
    <row r="977" spans="1:10" x14ac:dyDescent="0.25">
      <c r="A977" t="s">
        <v>985</v>
      </c>
      <c r="B977" t="s">
        <v>2178</v>
      </c>
      <c r="C977" t="s">
        <v>2405</v>
      </c>
      <c r="D977">
        <v>1</v>
      </c>
      <c r="E977">
        <v>105.92</v>
      </c>
      <c r="F977" t="s">
        <v>2639</v>
      </c>
      <c r="G977" t="s">
        <v>3064</v>
      </c>
      <c r="H977">
        <v>6</v>
      </c>
      <c r="I977" t="s">
        <v>3068</v>
      </c>
      <c r="J977">
        <v>105.92</v>
      </c>
    </row>
    <row r="978" spans="1:10" x14ac:dyDescent="0.25">
      <c r="A978" t="s">
        <v>986</v>
      </c>
      <c r="B978" t="s">
        <v>2179</v>
      </c>
      <c r="C978" t="s">
        <v>2401</v>
      </c>
      <c r="D978">
        <v>3</v>
      </c>
      <c r="E978">
        <v>589.29999999999995</v>
      </c>
      <c r="F978" t="s">
        <v>2937</v>
      </c>
      <c r="G978" t="s">
        <v>3063</v>
      </c>
      <c r="H978">
        <v>6</v>
      </c>
      <c r="I978" t="s">
        <v>3067</v>
      </c>
      <c r="J978">
        <v>1767.9</v>
      </c>
    </row>
    <row r="979" spans="1:10" x14ac:dyDescent="0.25">
      <c r="A979" t="s">
        <v>987</v>
      </c>
      <c r="B979" t="s">
        <v>2180</v>
      </c>
      <c r="C979" t="s">
        <v>2402</v>
      </c>
      <c r="D979">
        <v>4</v>
      </c>
      <c r="E979">
        <v>649.47</v>
      </c>
      <c r="F979" t="s">
        <v>2990</v>
      </c>
      <c r="G979" t="s">
        <v>3065</v>
      </c>
      <c r="H979">
        <v>8</v>
      </c>
      <c r="I979" t="s">
        <v>3070</v>
      </c>
      <c r="J979">
        <v>2597.88</v>
      </c>
    </row>
    <row r="980" spans="1:10" x14ac:dyDescent="0.25">
      <c r="A980" t="s">
        <v>988</v>
      </c>
      <c r="B980" t="s">
        <v>2181</v>
      </c>
      <c r="C980" t="s">
        <v>2403</v>
      </c>
      <c r="D980">
        <v>4</v>
      </c>
      <c r="E980">
        <v>107.49</v>
      </c>
      <c r="F980" t="s">
        <v>2883</v>
      </c>
      <c r="G980" t="s">
        <v>3065</v>
      </c>
      <c r="H980">
        <v>5</v>
      </c>
      <c r="I980" t="s">
        <v>3070</v>
      </c>
      <c r="J980">
        <v>429.96</v>
      </c>
    </row>
    <row r="981" spans="1:10" x14ac:dyDescent="0.25">
      <c r="A981" t="s">
        <v>989</v>
      </c>
      <c r="B981" t="s">
        <v>2182</v>
      </c>
      <c r="C981" t="s">
        <v>2399</v>
      </c>
      <c r="D981">
        <v>3</v>
      </c>
      <c r="E981">
        <v>669.06</v>
      </c>
      <c r="F981" t="s">
        <v>2644</v>
      </c>
      <c r="G981" t="s">
        <v>3065</v>
      </c>
      <c r="H981">
        <v>7</v>
      </c>
      <c r="I981" t="s">
        <v>3069</v>
      </c>
      <c r="J981">
        <v>2007.18</v>
      </c>
    </row>
    <row r="982" spans="1:10" x14ac:dyDescent="0.25">
      <c r="A982" t="s">
        <v>990</v>
      </c>
      <c r="B982" t="s">
        <v>2183</v>
      </c>
      <c r="C982" t="s">
        <v>2402</v>
      </c>
      <c r="D982">
        <v>3</v>
      </c>
      <c r="E982">
        <v>69.650000000000006</v>
      </c>
      <c r="F982" t="s">
        <v>2991</v>
      </c>
      <c r="G982" t="s">
        <v>3065</v>
      </c>
      <c r="H982">
        <v>7</v>
      </c>
      <c r="I982" t="s">
        <v>3066</v>
      </c>
      <c r="J982">
        <v>208.95</v>
      </c>
    </row>
    <row r="983" spans="1:10" x14ac:dyDescent="0.25">
      <c r="A983" t="s">
        <v>991</v>
      </c>
      <c r="B983" t="s">
        <v>2184</v>
      </c>
      <c r="C983" t="s">
        <v>2400</v>
      </c>
      <c r="D983">
        <v>4</v>
      </c>
      <c r="E983">
        <v>136.83000000000001</v>
      </c>
      <c r="F983" t="s">
        <v>2992</v>
      </c>
      <c r="G983" t="s">
        <v>3061</v>
      </c>
      <c r="H983">
        <v>8</v>
      </c>
      <c r="I983" t="s">
        <v>3068</v>
      </c>
      <c r="J983">
        <v>547.32000000000005</v>
      </c>
    </row>
    <row r="984" spans="1:10" x14ac:dyDescent="0.25">
      <c r="A984" t="s">
        <v>992</v>
      </c>
      <c r="B984" t="s">
        <v>2185</v>
      </c>
      <c r="C984" t="s">
        <v>2399</v>
      </c>
      <c r="D984">
        <v>1</v>
      </c>
      <c r="E984">
        <v>304.11</v>
      </c>
      <c r="F984" t="s">
        <v>2885</v>
      </c>
      <c r="G984" t="s">
        <v>3064</v>
      </c>
      <c r="H984">
        <v>2</v>
      </c>
      <c r="I984" t="s">
        <v>3067</v>
      </c>
      <c r="J984">
        <v>304.11</v>
      </c>
    </row>
    <row r="985" spans="1:10" x14ac:dyDescent="0.25">
      <c r="A985" t="s">
        <v>993</v>
      </c>
      <c r="B985" t="s">
        <v>2186</v>
      </c>
      <c r="C985" t="s">
        <v>2399</v>
      </c>
      <c r="D985">
        <v>4</v>
      </c>
      <c r="E985">
        <v>296.27999999999997</v>
      </c>
      <c r="F985" t="s">
        <v>2993</v>
      </c>
      <c r="G985" t="s">
        <v>3064</v>
      </c>
      <c r="H985">
        <v>5</v>
      </c>
      <c r="I985" t="s">
        <v>3068</v>
      </c>
      <c r="J985">
        <v>1185.1199999999999</v>
      </c>
    </row>
    <row r="986" spans="1:10" x14ac:dyDescent="0.25">
      <c r="A986" t="s">
        <v>994</v>
      </c>
      <c r="B986" t="s">
        <v>2187</v>
      </c>
      <c r="C986" t="s">
        <v>2405</v>
      </c>
      <c r="D986">
        <v>1</v>
      </c>
      <c r="E986">
        <v>77.64</v>
      </c>
      <c r="F986" t="s">
        <v>2413</v>
      </c>
      <c r="G986" t="s">
        <v>3063</v>
      </c>
      <c r="H986">
        <v>1</v>
      </c>
      <c r="I986" t="s">
        <v>3069</v>
      </c>
      <c r="J986">
        <v>77.64</v>
      </c>
    </row>
    <row r="987" spans="1:10" x14ac:dyDescent="0.25">
      <c r="A987" t="s">
        <v>995</v>
      </c>
      <c r="B987" t="s">
        <v>2188</v>
      </c>
      <c r="C987" t="s">
        <v>2405</v>
      </c>
      <c r="D987">
        <v>1</v>
      </c>
      <c r="E987">
        <v>243.71</v>
      </c>
      <c r="F987" t="s">
        <v>2604</v>
      </c>
      <c r="G987" t="s">
        <v>3064</v>
      </c>
      <c r="H987">
        <v>6</v>
      </c>
      <c r="I987" t="s">
        <v>3070</v>
      </c>
      <c r="J987">
        <v>243.71</v>
      </c>
    </row>
    <row r="988" spans="1:10" x14ac:dyDescent="0.25">
      <c r="A988" t="s">
        <v>996</v>
      </c>
      <c r="B988" t="s">
        <v>2189</v>
      </c>
      <c r="C988" t="s">
        <v>2404</v>
      </c>
      <c r="D988">
        <v>4</v>
      </c>
      <c r="E988">
        <v>644.96</v>
      </c>
      <c r="F988" t="s">
        <v>2497</v>
      </c>
      <c r="G988" t="s">
        <v>3063</v>
      </c>
      <c r="H988">
        <v>7</v>
      </c>
      <c r="I988" t="s">
        <v>3068</v>
      </c>
      <c r="J988">
        <v>2579.84</v>
      </c>
    </row>
    <row r="989" spans="1:10" x14ac:dyDescent="0.25">
      <c r="A989" t="s">
        <v>997</v>
      </c>
      <c r="B989" t="s">
        <v>2190</v>
      </c>
      <c r="C989" t="s">
        <v>2400</v>
      </c>
      <c r="D989">
        <v>5</v>
      </c>
      <c r="E989">
        <v>283.73</v>
      </c>
      <c r="F989" t="s">
        <v>2748</v>
      </c>
      <c r="G989" t="s">
        <v>3064</v>
      </c>
      <c r="H989">
        <v>8</v>
      </c>
      <c r="I989" t="s">
        <v>3066</v>
      </c>
      <c r="J989">
        <v>1418.65</v>
      </c>
    </row>
    <row r="990" spans="1:10" x14ac:dyDescent="0.25">
      <c r="A990" t="s">
        <v>998</v>
      </c>
      <c r="B990" t="s">
        <v>2191</v>
      </c>
      <c r="C990" t="s">
        <v>2405</v>
      </c>
      <c r="D990">
        <v>2</v>
      </c>
      <c r="E990">
        <v>629.55999999999995</v>
      </c>
      <c r="F990" t="s">
        <v>2683</v>
      </c>
      <c r="G990" t="s">
        <v>3064</v>
      </c>
      <c r="H990">
        <v>5</v>
      </c>
      <c r="I990" t="s">
        <v>3066</v>
      </c>
      <c r="J990">
        <v>1259.1199999999999</v>
      </c>
    </row>
    <row r="991" spans="1:10" x14ac:dyDescent="0.25">
      <c r="A991" t="s">
        <v>999</v>
      </c>
      <c r="B991" t="s">
        <v>2192</v>
      </c>
      <c r="C991" t="s">
        <v>2404</v>
      </c>
      <c r="D991">
        <v>4</v>
      </c>
      <c r="E991">
        <v>246.11</v>
      </c>
      <c r="F991" t="s">
        <v>2994</v>
      </c>
      <c r="G991" t="s">
        <v>3063</v>
      </c>
      <c r="H991">
        <v>4</v>
      </c>
      <c r="I991" t="s">
        <v>3066</v>
      </c>
      <c r="J991">
        <v>984.44</v>
      </c>
    </row>
    <row r="992" spans="1:10" x14ac:dyDescent="0.25">
      <c r="A992" t="s">
        <v>1000</v>
      </c>
      <c r="B992" t="s">
        <v>2193</v>
      </c>
      <c r="C992" t="s">
        <v>2400</v>
      </c>
      <c r="D992">
        <v>2</v>
      </c>
      <c r="E992">
        <v>418.26</v>
      </c>
      <c r="F992" t="s">
        <v>2995</v>
      </c>
      <c r="G992" t="s">
        <v>3061</v>
      </c>
      <c r="H992">
        <v>2</v>
      </c>
      <c r="I992" t="s">
        <v>3070</v>
      </c>
      <c r="J992">
        <v>836.52</v>
      </c>
    </row>
    <row r="993" spans="1:10" x14ac:dyDescent="0.25">
      <c r="A993" t="s">
        <v>1001</v>
      </c>
      <c r="B993" t="s">
        <v>2194</v>
      </c>
      <c r="C993" t="s">
        <v>2405</v>
      </c>
      <c r="D993">
        <v>5</v>
      </c>
      <c r="E993">
        <v>127.18</v>
      </c>
      <c r="F993" t="s">
        <v>2534</v>
      </c>
      <c r="G993" t="s">
        <v>3061</v>
      </c>
      <c r="H993">
        <v>10</v>
      </c>
      <c r="I993" t="s">
        <v>3070</v>
      </c>
      <c r="J993">
        <v>635.90000000000009</v>
      </c>
    </row>
    <row r="994" spans="1:10" x14ac:dyDescent="0.25">
      <c r="A994" t="s">
        <v>1002</v>
      </c>
      <c r="B994" t="s">
        <v>2195</v>
      </c>
      <c r="C994" t="s">
        <v>2403</v>
      </c>
      <c r="D994">
        <v>3</v>
      </c>
      <c r="E994">
        <v>586.21</v>
      </c>
      <c r="F994" t="s">
        <v>2539</v>
      </c>
      <c r="G994" t="s">
        <v>3064</v>
      </c>
      <c r="H994">
        <v>4</v>
      </c>
      <c r="I994" t="s">
        <v>3067</v>
      </c>
      <c r="J994">
        <v>1758.63</v>
      </c>
    </row>
    <row r="995" spans="1:10" x14ac:dyDescent="0.25">
      <c r="A995" t="s">
        <v>1003</v>
      </c>
      <c r="B995" t="s">
        <v>2196</v>
      </c>
      <c r="C995" t="s">
        <v>2399</v>
      </c>
      <c r="D995">
        <v>3</v>
      </c>
      <c r="E995">
        <v>267.45</v>
      </c>
      <c r="F995" t="s">
        <v>2996</v>
      </c>
      <c r="G995" t="s">
        <v>3064</v>
      </c>
      <c r="H995">
        <v>5</v>
      </c>
      <c r="I995" t="s">
        <v>3066</v>
      </c>
      <c r="J995">
        <v>802.34999999999991</v>
      </c>
    </row>
    <row r="996" spans="1:10" x14ac:dyDescent="0.25">
      <c r="A996" t="s">
        <v>1004</v>
      </c>
      <c r="B996" t="s">
        <v>2197</v>
      </c>
      <c r="C996" t="s">
        <v>2401</v>
      </c>
      <c r="D996">
        <v>4</v>
      </c>
      <c r="E996">
        <v>615.65</v>
      </c>
      <c r="F996" t="s">
        <v>2482</v>
      </c>
      <c r="G996" t="s">
        <v>3061</v>
      </c>
      <c r="H996">
        <v>9</v>
      </c>
      <c r="I996" t="s">
        <v>3070</v>
      </c>
      <c r="J996">
        <v>2462.6</v>
      </c>
    </row>
    <row r="997" spans="1:10" x14ac:dyDescent="0.25">
      <c r="A997" t="s">
        <v>1005</v>
      </c>
      <c r="B997" t="s">
        <v>2198</v>
      </c>
      <c r="C997" t="s">
        <v>2399</v>
      </c>
      <c r="D997">
        <v>2</v>
      </c>
      <c r="E997">
        <v>113.29</v>
      </c>
      <c r="F997" t="s">
        <v>2797</v>
      </c>
      <c r="G997" t="s">
        <v>3065</v>
      </c>
      <c r="H997">
        <v>5</v>
      </c>
      <c r="I997" t="s">
        <v>3069</v>
      </c>
      <c r="J997">
        <v>226.58</v>
      </c>
    </row>
    <row r="998" spans="1:10" x14ac:dyDescent="0.25">
      <c r="A998" t="s">
        <v>1006</v>
      </c>
      <c r="B998" t="s">
        <v>2199</v>
      </c>
      <c r="C998" t="s">
        <v>2399</v>
      </c>
      <c r="D998">
        <v>4</v>
      </c>
      <c r="E998">
        <v>473.86</v>
      </c>
      <c r="F998" t="s">
        <v>2673</v>
      </c>
      <c r="G998" t="s">
        <v>3061</v>
      </c>
      <c r="H998">
        <v>7</v>
      </c>
      <c r="I998" t="s">
        <v>3069</v>
      </c>
      <c r="J998">
        <v>1895.44</v>
      </c>
    </row>
    <row r="999" spans="1:10" x14ac:dyDescent="0.25">
      <c r="A999" t="s">
        <v>1007</v>
      </c>
      <c r="B999" t="s">
        <v>2200</v>
      </c>
      <c r="C999" t="s">
        <v>2404</v>
      </c>
      <c r="D999">
        <v>3</v>
      </c>
      <c r="E999">
        <v>444.75</v>
      </c>
      <c r="F999" t="s">
        <v>2791</v>
      </c>
      <c r="G999" t="s">
        <v>3065</v>
      </c>
      <c r="H999">
        <v>6</v>
      </c>
      <c r="I999" t="s">
        <v>3069</v>
      </c>
      <c r="J999">
        <v>1334.25</v>
      </c>
    </row>
    <row r="1000" spans="1:10" x14ac:dyDescent="0.25">
      <c r="A1000" t="s">
        <v>1008</v>
      </c>
      <c r="B1000" t="s">
        <v>2201</v>
      </c>
      <c r="C1000" t="s">
        <v>2400</v>
      </c>
      <c r="D1000">
        <v>2</v>
      </c>
      <c r="E1000">
        <v>183.67</v>
      </c>
      <c r="F1000" t="s">
        <v>2610</v>
      </c>
      <c r="G1000" t="s">
        <v>3061</v>
      </c>
      <c r="H1000">
        <v>6</v>
      </c>
      <c r="I1000" t="s">
        <v>3070</v>
      </c>
      <c r="J1000">
        <v>367.34</v>
      </c>
    </row>
    <row r="1001" spans="1:10" x14ac:dyDescent="0.25">
      <c r="A1001" t="s">
        <v>1009</v>
      </c>
      <c r="B1001" t="s">
        <v>2202</v>
      </c>
      <c r="C1001" t="s">
        <v>2403</v>
      </c>
      <c r="D1001">
        <v>1</v>
      </c>
      <c r="E1001">
        <v>483.38</v>
      </c>
      <c r="F1001" t="s">
        <v>2737</v>
      </c>
      <c r="G1001" t="s">
        <v>3065</v>
      </c>
      <c r="H1001">
        <v>6</v>
      </c>
      <c r="I1001" t="s">
        <v>3070</v>
      </c>
      <c r="J1001">
        <v>483.38</v>
      </c>
    </row>
    <row r="1002" spans="1:10" x14ac:dyDescent="0.25">
      <c r="A1002" t="s">
        <v>1010</v>
      </c>
      <c r="B1002" t="s">
        <v>2203</v>
      </c>
      <c r="C1002" t="s">
        <v>2403</v>
      </c>
      <c r="D1002">
        <v>5</v>
      </c>
      <c r="E1002">
        <v>260.93</v>
      </c>
      <c r="F1002" t="s">
        <v>2997</v>
      </c>
      <c r="G1002" t="s">
        <v>3062</v>
      </c>
      <c r="H1002">
        <v>9</v>
      </c>
      <c r="I1002" t="s">
        <v>3068</v>
      </c>
      <c r="J1002">
        <v>1304.6500000000001</v>
      </c>
    </row>
    <row r="1003" spans="1:10" x14ac:dyDescent="0.25">
      <c r="A1003" t="s">
        <v>1011</v>
      </c>
      <c r="B1003" t="s">
        <v>2204</v>
      </c>
      <c r="C1003" t="s">
        <v>2403</v>
      </c>
      <c r="D1003">
        <v>2</v>
      </c>
      <c r="E1003">
        <v>253.68</v>
      </c>
      <c r="F1003" t="s">
        <v>2514</v>
      </c>
      <c r="G1003" t="s">
        <v>3064</v>
      </c>
      <c r="H1003">
        <v>6</v>
      </c>
      <c r="I1003" t="s">
        <v>3067</v>
      </c>
      <c r="J1003">
        <v>507.36</v>
      </c>
    </row>
    <row r="1004" spans="1:10" x14ac:dyDescent="0.25">
      <c r="A1004" t="s">
        <v>1012</v>
      </c>
      <c r="B1004" t="s">
        <v>2205</v>
      </c>
      <c r="C1004" t="s">
        <v>2401</v>
      </c>
      <c r="D1004">
        <v>4</v>
      </c>
      <c r="E1004">
        <v>699.88</v>
      </c>
      <c r="F1004" t="s">
        <v>2501</v>
      </c>
      <c r="G1004" t="s">
        <v>3065</v>
      </c>
      <c r="H1004">
        <v>5</v>
      </c>
      <c r="I1004" t="s">
        <v>3067</v>
      </c>
      <c r="J1004">
        <v>2799.52</v>
      </c>
    </row>
    <row r="1005" spans="1:10" x14ac:dyDescent="0.25">
      <c r="A1005" t="s">
        <v>1013</v>
      </c>
      <c r="B1005" t="s">
        <v>2206</v>
      </c>
      <c r="C1005" t="s">
        <v>2403</v>
      </c>
      <c r="D1005">
        <v>5</v>
      </c>
      <c r="E1005">
        <v>319.97000000000003</v>
      </c>
      <c r="F1005" t="s">
        <v>2997</v>
      </c>
      <c r="G1005" t="s">
        <v>3065</v>
      </c>
      <c r="H1005">
        <v>7</v>
      </c>
      <c r="I1005" t="s">
        <v>3070</v>
      </c>
      <c r="J1005">
        <v>1599.85</v>
      </c>
    </row>
    <row r="1006" spans="1:10" x14ac:dyDescent="0.25">
      <c r="A1006" t="s">
        <v>1014</v>
      </c>
      <c r="B1006" t="s">
        <v>2207</v>
      </c>
      <c r="C1006" t="s">
        <v>2402</v>
      </c>
      <c r="D1006">
        <v>4</v>
      </c>
      <c r="E1006">
        <v>246.91</v>
      </c>
      <c r="F1006" t="s">
        <v>2432</v>
      </c>
      <c r="G1006" t="s">
        <v>3062</v>
      </c>
      <c r="H1006">
        <v>8</v>
      </c>
      <c r="I1006" t="s">
        <v>3067</v>
      </c>
      <c r="J1006">
        <v>987.64</v>
      </c>
    </row>
    <row r="1007" spans="1:10" x14ac:dyDescent="0.25">
      <c r="A1007" t="s">
        <v>1015</v>
      </c>
      <c r="B1007" t="s">
        <v>2208</v>
      </c>
      <c r="C1007" t="s">
        <v>2403</v>
      </c>
      <c r="D1007">
        <v>3</v>
      </c>
      <c r="E1007">
        <v>392.85</v>
      </c>
      <c r="F1007" t="s">
        <v>2925</v>
      </c>
      <c r="G1007" t="s">
        <v>3063</v>
      </c>
      <c r="H1007">
        <v>6</v>
      </c>
      <c r="I1007" t="s">
        <v>3070</v>
      </c>
      <c r="J1007">
        <v>1178.55</v>
      </c>
    </row>
    <row r="1008" spans="1:10" x14ac:dyDescent="0.25">
      <c r="A1008" t="s">
        <v>1016</v>
      </c>
      <c r="B1008" t="s">
        <v>2209</v>
      </c>
      <c r="C1008" t="s">
        <v>2401</v>
      </c>
      <c r="D1008">
        <v>5</v>
      </c>
      <c r="E1008">
        <v>420.98</v>
      </c>
      <c r="F1008" t="s">
        <v>2864</v>
      </c>
      <c r="G1008" t="s">
        <v>3065</v>
      </c>
      <c r="H1008">
        <v>7</v>
      </c>
      <c r="I1008" t="s">
        <v>3069</v>
      </c>
      <c r="J1008">
        <v>2104.9</v>
      </c>
    </row>
    <row r="1009" spans="1:10" x14ac:dyDescent="0.25">
      <c r="A1009" t="s">
        <v>1017</v>
      </c>
      <c r="B1009" t="s">
        <v>1695</v>
      </c>
      <c r="C1009" t="s">
        <v>2399</v>
      </c>
      <c r="D1009">
        <v>2</v>
      </c>
      <c r="E1009">
        <v>73.260000000000005</v>
      </c>
      <c r="F1009" t="s">
        <v>2495</v>
      </c>
      <c r="G1009" t="s">
        <v>3065</v>
      </c>
      <c r="H1009">
        <v>4</v>
      </c>
      <c r="I1009" t="s">
        <v>3069</v>
      </c>
      <c r="J1009">
        <v>146.52000000000001</v>
      </c>
    </row>
    <row r="1010" spans="1:10" x14ac:dyDescent="0.25">
      <c r="A1010" t="s">
        <v>1018</v>
      </c>
      <c r="B1010" t="s">
        <v>2210</v>
      </c>
      <c r="C1010" t="s">
        <v>2399</v>
      </c>
      <c r="D1010">
        <v>3</v>
      </c>
      <c r="E1010">
        <v>410.88</v>
      </c>
      <c r="F1010" t="s">
        <v>2912</v>
      </c>
      <c r="G1010" t="s">
        <v>3065</v>
      </c>
      <c r="H1010">
        <v>8</v>
      </c>
      <c r="I1010" t="s">
        <v>3066</v>
      </c>
      <c r="J1010">
        <v>1232.6400000000001</v>
      </c>
    </row>
    <row r="1011" spans="1:10" x14ac:dyDescent="0.25">
      <c r="A1011" t="s">
        <v>1019</v>
      </c>
      <c r="B1011" t="s">
        <v>2211</v>
      </c>
      <c r="C1011" t="s">
        <v>2401</v>
      </c>
      <c r="D1011">
        <v>2</v>
      </c>
      <c r="E1011">
        <v>176.46</v>
      </c>
      <c r="F1011" t="s">
        <v>2792</v>
      </c>
      <c r="G1011" t="s">
        <v>3063</v>
      </c>
      <c r="H1011">
        <v>2</v>
      </c>
      <c r="I1011" t="s">
        <v>3068</v>
      </c>
      <c r="J1011">
        <v>352.92</v>
      </c>
    </row>
    <row r="1012" spans="1:10" x14ac:dyDescent="0.25">
      <c r="A1012" t="s">
        <v>1020</v>
      </c>
      <c r="B1012" t="s">
        <v>2212</v>
      </c>
      <c r="C1012" t="s">
        <v>2399</v>
      </c>
      <c r="D1012">
        <v>3</v>
      </c>
      <c r="E1012">
        <v>659.57</v>
      </c>
      <c r="F1012" t="s">
        <v>2497</v>
      </c>
      <c r="G1012" t="s">
        <v>3063</v>
      </c>
      <c r="H1012">
        <v>6</v>
      </c>
      <c r="I1012" t="s">
        <v>3068</v>
      </c>
      <c r="J1012">
        <v>1978.71</v>
      </c>
    </row>
    <row r="1013" spans="1:10" x14ac:dyDescent="0.25">
      <c r="A1013" t="s">
        <v>1021</v>
      </c>
      <c r="B1013" t="s">
        <v>2213</v>
      </c>
      <c r="C1013" t="s">
        <v>2400</v>
      </c>
      <c r="D1013">
        <v>2</v>
      </c>
      <c r="E1013">
        <v>478.36</v>
      </c>
      <c r="F1013" t="s">
        <v>2642</v>
      </c>
      <c r="G1013" t="s">
        <v>3062</v>
      </c>
      <c r="H1013">
        <v>3</v>
      </c>
      <c r="I1013" t="s">
        <v>3070</v>
      </c>
      <c r="J1013">
        <v>956.72</v>
      </c>
    </row>
    <row r="1014" spans="1:10" x14ac:dyDescent="0.25">
      <c r="A1014" t="s">
        <v>1022</v>
      </c>
      <c r="B1014" t="s">
        <v>2214</v>
      </c>
      <c r="C1014" t="s">
        <v>2403</v>
      </c>
      <c r="D1014">
        <v>4</v>
      </c>
      <c r="E1014">
        <v>30.05</v>
      </c>
      <c r="F1014" t="s">
        <v>2672</v>
      </c>
      <c r="G1014" t="s">
        <v>3062</v>
      </c>
      <c r="H1014">
        <v>6</v>
      </c>
      <c r="I1014" t="s">
        <v>3069</v>
      </c>
      <c r="J1014">
        <v>120.2</v>
      </c>
    </row>
    <row r="1015" spans="1:10" x14ac:dyDescent="0.25">
      <c r="A1015" t="s">
        <v>1023</v>
      </c>
      <c r="B1015" t="s">
        <v>2215</v>
      </c>
      <c r="C1015" t="s">
        <v>2404</v>
      </c>
      <c r="D1015">
        <v>4</v>
      </c>
      <c r="E1015">
        <v>300.56</v>
      </c>
      <c r="F1015" t="s">
        <v>2459</v>
      </c>
      <c r="G1015" t="s">
        <v>3065</v>
      </c>
      <c r="H1015">
        <v>9</v>
      </c>
      <c r="I1015" t="s">
        <v>3069</v>
      </c>
      <c r="J1015">
        <v>1202.24</v>
      </c>
    </row>
    <row r="1016" spans="1:10" x14ac:dyDescent="0.25">
      <c r="A1016" t="s">
        <v>1024</v>
      </c>
      <c r="B1016" t="s">
        <v>2216</v>
      </c>
      <c r="C1016" t="s">
        <v>2401</v>
      </c>
      <c r="D1016">
        <v>5</v>
      </c>
      <c r="E1016">
        <v>226.45</v>
      </c>
      <c r="F1016" t="s">
        <v>2758</v>
      </c>
      <c r="G1016" t="s">
        <v>3061</v>
      </c>
      <c r="H1016">
        <v>6</v>
      </c>
      <c r="I1016" t="s">
        <v>3068</v>
      </c>
      <c r="J1016">
        <v>1132.25</v>
      </c>
    </row>
    <row r="1017" spans="1:10" x14ac:dyDescent="0.25">
      <c r="A1017" t="s">
        <v>1025</v>
      </c>
      <c r="B1017" t="s">
        <v>2217</v>
      </c>
      <c r="C1017" t="s">
        <v>2403</v>
      </c>
      <c r="D1017">
        <v>2</v>
      </c>
      <c r="E1017">
        <v>349.4</v>
      </c>
      <c r="F1017" t="s">
        <v>2834</v>
      </c>
      <c r="G1017" t="s">
        <v>3062</v>
      </c>
      <c r="H1017">
        <v>2</v>
      </c>
      <c r="I1017" t="s">
        <v>3066</v>
      </c>
      <c r="J1017">
        <v>698.8</v>
      </c>
    </row>
    <row r="1018" spans="1:10" x14ac:dyDescent="0.25">
      <c r="A1018" t="s">
        <v>1026</v>
      </c>
      <c r="B1018" t="s">
        <v>2218</v>
      </c>
      <c r="C1018" t="s">
        <v>2401</v>
      </c>
      <c r="D1018">
        <v>5</v>
      </c>
      <c r="E1018">
        <v>268.77999999999997</v>
      </c>
      <c r="F1018" t="s">
        <v>2998</v>
      </c>
      <c r="G1018" t="s">
        <v>3061</v>
      </c>
      <c r="H1018">
        <v>7</v>
      </c>
      <c r="I1018" t="s">
        <v>3068</v>
      </c>
      <c r="J1018">
        <v>1343.9</v>
      </c>
    </row>
    <row r="1019" spans="1:10" x14ac:dyDescent="0.25">
      <c r="A1019" t="s">
        <v>1027</v>
      </c>
      <c r="B1019" t="s">
        <v>2219</v>
      </c>
      <c r="C1019" t="s">
        <v>2402</v>
      </c>
      <c r="D1019">
        <v>2</v>
      </c>
      <c r="E1019">
        <v>680.85</v>
      </c>
      <c r="F1019" t="s">
        <v>2999</v>
      </c>
      <c r="G1019" t="s">
        <v>3064</v>
      </c>
      <c r="H1019">
        <v>6</v>
      </c>
      <c r="I1019" t="s">
        <v>3067</v>
      </c>
      <c r="J1019">
        <v>1361.7</v>
      </c>
    </row>
    <row r="1020" spans="1:10" x14ac:dyDescent="0.25">
      <c r="A1020" t="s">
        <v>1028</v>
      </c>
      <c r="B1020" t="s">
        <v>2220</v>
      </c>
      <c r="C1020" t="s">
        <v>2404</v>
      </c>
      <c r="D1020">
        <v>3</v>
      </c>
      <c r="E1020">
        <v>182.48</v>
      </c>
      <c r="F1020" t="s">
        <v>3000</v>
      </c>
      <c r="G1020" t="s">
        <v>3065</v>
      </c>
      <c r="H1020">
        <v>3</v>
      </c>
      <c r="I1020" t="s">
        <v>3066</v>
      </c>
      <c r="J1020">
        <v>547.43999999999994</v>
      </c>
    </row>
    <row r="1021" spans="1:10" x14ac:dyDescent="0.25">
      <c r="A1021" t="s">
        <v>1029</v>
      </c>
      <c r="B1021" t="s">
        <v>2221</v>
      </c>
      <c r="C1021" t="s">
        <v>2405</v>
      </c>
      <c r="D1021">
        <v>1</v>
      </c>
      <c r="E1021">
        <v>277.08999999999997</v>
      </c>
      <c r="F1021" t="s">
        <v>2690</v>
      </c>
      <c r="G1021" t="s">
        <v>3065</v>
      </c>
      <c r="H1021">
        <v>2</v>
      </c>
      <c r="I1021" t="s">
        <v>3067</v>
      </c>
      <c r="J1021">
        <v>277.08999999999997</v>
      </c>
    </row>
    <row r="1022" spans="1:10" x14ac:dyDescent="0.25">
      <c r="A1022" t="s">
        <v>1030</v>
      </c>
      <c r="B1022" t="s">
        <v>2222</v>
      </c>
      <c r="C1022" t="s">
        <v>2401</v>
      </c>
      <c r="D1022">
        <v>2</v>
      </c>
      <c r="E1022">
        <v>26.5</v>
      </c>
      <c r="F1022" t="s">
        <v>2710</v>
      </c>
      <c r="G1022" t="s">
        <v>3062</v>
      </c>
      <c r="H1022">
        <v>3</v>
      </c>
      <c r="I1022" t="s">
        <v>3066</v>
      </c>
      <c r="J1022">
        <v>53</v>
      </c>
    </row>
    <row r="1023" spans="1:10" x14ac:dyDescent="0.25">
      <c r="A1023" t="s">
        <v>1031</v>
      </c>
      <c r="B1023" t="s">
        <v>2223</v>
      </c>
      <c r="C1023" t="s">
        <v>2400</v>
      </c>
      <c r="D1023">
        <v>3</v>
      </c>
      <c r="E1023">
        <v>315.27</v>
      </c>
      <c r="F1023" t="s">
        <v>2957</v>
      </c>
      <c r="G1023" t="s">
        <v>3063</v>
      </c>
      <c r="H1023">
        <v>4</v>
      </c>
      <c r="I1023" t="s">
        <v>3068</v>
      </c>
      <c r="J1023">
        <v>945.81</v>
      </c>
    </row>
    <row r="1024" spans="1:10" x14ac:dyDescent="0.25">
      <c r="A1024" t="s">
        <v>1032</v>
      </c>
      <c r="B1024" t="s">
        <v>2224</v>
      </c>
      <c r="C1024" t="s">
        <v>2401</v>
      </c>
      <c r="D1024">
        <v>3</v>
      </c>
      <c r="E1024">
        <v>450.98</v>
      </c>
      <c r="F1024" t="s">
        <v>2873</v>
      </c>
      <c r="G1024" t="s">
        <v>3063</v>
      </c>
      <c r="H1024">
        <v>8</v>
      </c>
      <c r="I1024" t="s">
        <v>3067</v>
      </c>
      <c r="J1024">
        <v>1352.94</v>
      </c>
    </row>
    <row r="1025" spans="1:10" x14ac:dyDescent="0.25">
      <c r="A1025" t="s">
        <v>1033</v>
      </c>
      <c r="B1025" t="s">
        <v>2225</v>
      </c>
      <c r="C1025" t="s">
        <v>2404</v>
      </c>
      <c r="D1025">
        <v>5</v>
      </c>
      <c r="E1025">
        <v>233.67</v>
      </c>
      <c r="F1025" t="s">
        <v>2489</v>
      </c>
      <c r="G1025" t="s">
        <v>3065</v>
      </c>
      <c r="H1025">
        <v>10</v>
      </c>
      <c r="I1025" t="s">
        <v>3067</v>
      </c>
      <c r="J1025">
        <v>1168.3499999999999</v>
      </c>
    </row>
    <row r="1026" spans="1:10" x14ac:dyDescent="0.25">
      <c r="A1026" t="s">
        <v>1034</v>
      </c>
      <c r="B1026" t="s">
        <v>2226</v>
      </c>
      <c r="C1026" t="s">
        <v>2402</v>
      </c>
      <c r="D1026">
        <v>3</v>
      </c>
      <c r="E1026">
        <v>367.75</v>
      </c>
      <c r="F1026" t="s">
        <v>2765</v>
      </c>
      <c r="G1026" t="s">
        <v>3065</v>
      </c>
      <c r="H1026">
        <v>7</v>
      </c>
      <c r="I1026" t="s">
        <v>3069</v>
      </c>
      <c r="J1026">
        <v>1103.25</v>
      </c>
    </row>
    <row r="1027" spans="1:10" x14ac:dyDescent="0.25">
      <c r="A1027" t="s">
        <v>1035</v>
      </c>
      <c r="B1027" t="s">
        <v>2227</v>
      </c>
      <c r="C1027" t="s">
        <v>2402</v>
      </c>
      <c r="D1027">
        <v>1</v>
      </c>
      <c r="E1027">
        <v>23.53</v>
      </c>
      <c r="F1027" t="s">
        <v>2544</v>
      </c>
      <c r="G1027" t="s">
        <v>3064</v>
      </c>
      <c r="H1027">
        <v>2</v>
      </c>
      <c r="I1027" t="s">
        <v>3066</v>
      </c>
      <c r="J1027">
        <v>23.53</v>
      </c>
    </row>
    <row r="1028" spans="1:10" x14ac:dyDescent="0.25">
      <c r="A1028" t="s">
        <v>1036</v>
      </c>
      <c r="B1028" t="s">
        <v>2228</v>
      </c>
      <c r="C1028" t="s">
        <v>2399</v>
      </c>
      <c r="D1028">
        <v>1</v>
      </c>
      <c r="E1028">
        <v>677.48</v>
      </c>
      <c r="F1028" t="s">
        <v>2517</v>
      </c>
      <c r="G1028" t="s">
        <v>3062</v>
      </c>
      <c r="H1028">
        <v>1</v>
      </c>
      <c r="I1028" t="s">
        <v>3069</v>
      </c>
      <c r="J1028">
        <v>677.48</v>
      </c>
    </row>
    <row r="1029" spans="1:10" x14ac:dyDescent="0.25">
      <c r="A1029" t="s">
        <v>1037</v>
      </c>
      <c r="B1029" t="s">
        <v>2229</v>
      </c>
      <c r="C1029" t="s">
        <v>2404</v>
      </c>
      <c r="D1029">
        <v>4</v>
      </c>
      <c r="E1029">
        <v>554.83000000000004</v>
      </c>
      <c r="F1029" t="s">
        <v>2904</v>
      </c>
      <c r="G1029" t="s">
        <v>3065</v>
      </c>
      <c r="H1029">
        <v>6</v>
      </c>
      <c r="I1029" t="s">
        <v>3070</v>
      </c>
      <c r="J1029">
        <v>2219.3200000000002</v>
      </c>
    </row>
    <row r="1030" spans="1:10" x14ac:dyDescent="0.25">
      <c r="A1030" t="s">
        <v>1038</v>
      </c>
      <c r="B1030" t="s">
        <v>2230</v>
      </c>
      <c r="C1030" t="s">
        <v>2405</v>
      </c>
      <c r="D1030">
        <v>4</v>
      </c>
      <c r="E1030">
        <v>440.31</v>
      </c>
      <c r="F1030" t="s">
        <v>2606</v>
      </c>
      <c r="G1030" t="s">
        <v>3065</v>
      </c>
      <c r="H1030">
        <v>6</v>
      </c>
      <c r="I1030" t="s">
        <v>3066</v>
      </c>
      <c r="J1030">
        <v>1761.24</v>
      </c>
    </row>
    <row r="1031" spans="1:10" x14ac:dyDescent="0.25">
      <c r="A1031" t="s">
        <v>1039</v>
      </c>
      <c r="B1031" t="s">
        <v>2231</v>
      </c>
      <c r="C1031" t="s">
        <v>2405</v>
      </c>
      <c r="D1031">
        <v>1</v>
      </c>
      <c r="E1031">
        <v>87.06</v>
      </c>
      <c r="F1031" t="s">
        <v>2984</v>
      </c>
      <c r="G1031" t="s">
        <v>3063</v>
      </c>
      <c r="H1031">
        <v>4</v>
      </c>
      <c r="I1031" t="s">
        <v>3068</v>
      </c>
      <c r="J1031">
        <v>87.06</v>
      </c>
    </row>
    <row r="1032" spans="1:10" x14ac:dyDescent="0.25">
      <c r="A1032" t="s">
        <v>1040</v>
      </c>
      <c r="B1032" t="s">
        <v>2232</v>
      </c>
      <c r="C1032" t="s">
        <v>2400</v>
      </c>
      <c r="D1032">
        <v>4</v>
      </c>
      <c r="E1032">
        <v>245.28</v>
      </c>
      <c r="F1032" t="s">
        <v>3001</v>
      </c>
      <c r="G1032" t="s">
        <v>3063</v>
      </c>
      <c r="H1032">
        <v>6</v>
      </c>
      <c r="I1032" t="s">
        <v>3068</v>
      </c>
      <c r="J1032">
        <v>981.12</v>
      </c>
    </row>
    <row r="1033" spans="1:10" x14ac:dyDescent="0.25">
      <c r="A1033" t="s">
        <v>1041</v>
      </c>
      <c r="B1033" t="s">
        <v>2233</v>
      </c>
      <c r="C1033" t="s">
        <v>2400</v>
      </c>
      <c r="D1033">
        <v>5</v>
      </c>
      <c r="E1033">
        <v>664.51</v>
      </c>
      <c r="F1033" t="s">
        <v>3002</v>
      </c>
      <c r="G1033" t="s">
        <v>3061</v>
      </c>
      <c r="H1033">
        <v>8</v>
      </c>
      <c r="I1033" t="s">
        <v>3068</v>
      </c>
      <c r="J1033">
        <v>3322.55</v>
      </c>
    </row>
    <row r="1034" spans="1:10" x14ac:dyDescent="0.25">
      <c r="A1034" t="s">
        <v>1042</v>
      </c>
      <c r="B1034" t="s">
        <v>2234</v>
      </c>
      <c r="C1034" t="s">
        <v>2402</v>
      </c>
      <c r="D1034">
        <v>1</v>
      </c>
      <c r="E1034">
        <v>618.67999999999995</v>
      </c>
      <c r="F1034" t="s">
        <v>2649</v>
      </c>
      <c r="G1034" t="s">
        <v>3062</v>
      </c>
      <c r="H1034">
        <v>6</v>
      </c>
      <c r="I1034" t="s">
        <v>3067</v>
      </c>
      <c r="J1034">
        <v>618.67999999999995</v>
      </c>
    </row>
    <row r="1035" spans="1:10" x14ac:dyDescent="0.25">
      <c r="A1035" t="s">
        <v>1043</v>
      </c>
      <c r="B1035" t="s">
        <v>2235</v>
      </c>
      <c r="C1035" t="s">
        <v>2399</v>
      </c>
      <c r="D1035">
        <v>1</v>
      </c>
      <c r="E1035">
        <v>370.85</v>
      </c>
      <c r="F1035" t="s">
        <v>3003</v>
      </c>
      <c r="G1035" t="s">
        <v>3064</v>
      </c>
      <c r="H1035">
        <v>2</v>
      </c>
      <c r="I1035" t="s">
        <v>3067</v>
      </c>
      <c r="J1035">
        <v>370.85</v>
      </c>
    </row>
    <row r="1036" spans="1:10" x14ac:dyDescent="0.25">
      <c r="A1036" t="s">
        <v>1044</v>
      </c>
      <c r="B1036" t="s">
        <v>2236</v>
      </c>
      <c r="C1036" t="s">
        <v>2403</v>
      </c>
      <c r="D1036">
        <v>4</v>
      </c>
      <c r="E1036">
        <v>517.98</v>
      </c>
      <c r="F1036" t="s">
        <v>3004</v>
      </c>
      <c r="G1036" t="s">
        <v>3065</v>
      </c>
      <c r="H1036">
        <v>8</v>
      </c>
      <c r="I1036" t="s">
        <v>3069</v>
      </c>
      <c r="J1036">
        <v>2071.92</v>
      </c>
    </row>
    <row r="1037" spans="1:10" x14ac:dyDescent="0.25">
      <c r="A1037" t="s">
        <v>1045</v>
      </c>
      <c r="B1037" t="s">
        <v>2237</v>
      </c>
      <c r="C1037" t="s">
        <v>2404</v>
      </c>
      <c r="D1037">
        <v>4</v>
      </c>
      <c r="E1037">
        <v>506.11</v>
      </c>
      <c r="F1037" t="s">
        <v>3005</v>
      </c>
      <c r="G1037" t="s">
        <v>3065</v>
      </c>
      <c r="H1037">
        <v>5</v>
      </c>
      <c r="I1037" t="s">
        <v>3067</v>
      </c>
      <c r="J1037">
        <v>2024.44</v>
      </c>
    </row>
    <row r="1038" spans="1:10" x14ac:dyDescent="0.25">
      <c r="A1038" t="s">
        <v>1046</v>
      </c>
      <c r="B1038" t="s">
        <v>2238</v>
      </c>
      <c r="C1038" t="s">
        <v>2400</v>
      </c>
      <c r="D1038">
        <v>3</v>
      </c>
      <c r="E1038">
        <v>413.83</v>
      </c>
      <c r="F1038" t="s">
        <v>2470</v>
      </c>
      <c r="G1038" t="s">
        <v>3064</v>
      </c>
      <c r="H1038">
        <v>8</v>
      </c>
      <c r="I1038" t="s">
        <v>3069</v>
      </c>
      <c r="J1038">
        <v>1241.49</v>
      </c>
    </row>
    <row r="1039" spans="1:10" x14ac:dyDescent="0.25">
      <c r="A1039" t="s">
        <v>1047</v>
      </c>
      <c r="B1039" t="s">
        <v>2239</v>
      </c>
      <c r="C1039" t="s">
        <v>2403</v>
      </c>
      <c r="D1039">
        <v>1</v>
      </c>
      <c r="E1039">
        <v>249.81</v>
      </c>
      <c r="F1039" t="s">
        <v>2871</v>
      </c>
      <c r="G1039" t="s">
        <v>3065</v>
      </c>
      <c r="H1039">
        <v>1</v>
      </c>
      <c r="I1039" t="s">
        <v>3070</v>
      </c>
      <c r="J1039">
        <v>249.81</v>
      </c>
    </row>
    <row r="1040" spans="1:10" x14ac:dyDescent="0.25">
      <c r="A1040" t="s">
        <v>1048</v>
      </c>
      <c r="B1040" t="s">
        <v>2240</v>
      </c>
      <c r="C1040" t="s">
        <v>2401</v>
      </c>
      <c r="D1040">
        <v>3</v>
      </c>
      <c r="E1040">
        <v>362.53</v>
      </c>
      <c r="F1040" t="s">
        <v>3006</v>
      </c>
      <c r="G1040" t="s">
        <v>3061</v>
      </c>
      <c r="H1040">
        <v>5</v>
      </c>
      <c r="I1040" t="s">
        <v>3069</v>
      </c>
      <c r="J1040">
        <v>1087.5899999999999</v>
      </c>
    </row>
    <row r="1041" spans="1:10" x14ac:dyDescent="0.25">
      <c r="A1041" t="s">
        <v>1049</v>
      </c>
      <c r="B1041" t="s">
        <v>2241</v>
      </c>
      <c r="C1041" t="s">
        <v>2405</v>
      </c>
      <c r="D1041">
        <v>2</v>
      </c>
      <c r="E1041">
        <v>299.23</v>
      </c>
      <c r="F1041" t="s">
        <v>3007</v>
      </c>
      <c r="G1041" t="s">
        <v>3063</v>
      </c>
      <c r="H1041">
        <v>2</v>
      </c>
      <c r="I1041" t="s">
        <v>3066</v>
      </c>
      <c r="J1041">
        <v>598.46</v>
      </c>
    </row>
    <row r="1042" spans="1:10" x14ac:dyDescent="0.25">
      <c r="A1042" t="s">
        <v>1050</v>
      </c>
      <c r="B1042" t="s">
        <v>2242</v>
      </c>
      <c r="C1042" t="s">
        <v>2401</v>
      </c>
      <c r="D1042">
        <v>1</v>
      </c>
      <c r="E1042">
        <v>536.07000000000005</v>
      </c>
      <c r="F1042" t="s">
        <v>2813</v>
      </c>
      <c r="G1042" t="s">
        <v>3061</v>
      </c>
      <c r="H1042">
        <v>5</v>
      </c>
      <c r="I1042" t="s">
        <v>3070</v>
      </c>
      <c r="J1042">
        <v>536.07000000000005</v>
      </c>
    </row>
    <row r="1043" spans="1:10" x14ac:dyDescent="0.25">
      <c r="A1043" t="s">
        <v>1051</v>
      </c>
      <c r="B1043" t="s">
        <v>2243</v>
      </c>
      <c r="C1043" t="s">
        <v>2399</v>
      </c>
      <c r="D1043">
        <v>4</v>
      </c>
      <c r="E1043">
        <v>558.9</v>
      </c>
      <c r="F1043" t="s">
        <v>2604</v>
      </c>
      <c r="G1043" t="s">
        <v>3064</v>
      </c>
      <c r="H1043">
        <v>9</v>
      </c>
      <c r="I1043" t="s">
        <v>3070</v>
      </c>
      <c r="J1043">
        <v>2235.6</v>
      </c>
    </row>
    <row r="1044" spans="1:10" x14ac:dyDescent="0.25">
      <c r="A1044" t="s">
        <v>1052</v>
      </c>
      <c r="B1044" t="s">
        <v>2244</v>
      </c>
      <c r="C1044" t="s">
        <v>2401</v>
      </c>
      <c r="D1044">
        <v>2</v>
      </c>
      <c r="E1044">
        <v>409.75</v>
      </c>
      <c r="F1044" t="s">
        <v>2677</v>
      </c>
      <c r="G1044" t="s">
        <v>3061</v>
      </c>
      <c r="H1044">
        <v>2</v>
      </c>
      <c r="I1044" t="s">
        <v>3069</v>
      </c>
      <c r="J1044">
        <v>819.5</v>
      </c>
    </row>
    <row r="1045" spans="1:10" x14ac:dyDescent="0.25">
      <c r="A1045" t="s">
        <v>1053</v>
      </c>
      <c r="B1045" t="s">
        <v>2245</v>
      </c>
      <c r="C1045" t="s">
        <v>2401</v>
      </c>
      <c r="D1045">
        <v>2</v>
      </c>
      <c r="E1045">
        <v>179.96</v>
      </c>
      <c r="F1045" t="s">
        <v>2987</v>
      </c>
      <c r="G1045" t="s">
        <v>3064</v>
      </c>
      <c r="H1045">
        <v>5</v>
      </c>
      <c r="I1045" t="s">
        <v>3066</v>
      </c>
      <c r="J1045">
        <v>359.92</v>
      </c>
    </row>
    <row r="1046" spans="1:10" x14ac:dyDescent="0.25">
      <c r="A1046" t="s">
        <v>1054</v>
      </c>
      <c r="B1046" t="s">
        <v>2246</v>
      </c>
      <c r="C1046" t="s">
        <v>2403</v>
      </c>
      <c r="D1046">
        <v>1</v>
      </c>
      <c r="E1046">
        <v>38.49</v>
      </c>
      <c r="F1046" t="s">
        <v>3008</v>
      </c>
      <c r="G1046" t="s">
        <v>3063</v>
      </c>
      <c r="H1046">
        <v>4</v>
      </c>
      <c r="I1046" t="s">
        <v>3067</v>
      </c>
      <c r="J1046">
        <v>38.49</v>
      </c>
    </row>
    <row r="1047" spans="1:10" x14ac:dyDescent="0.25">
      <c r="A1047" t="s">
        <v>1055</v>
      </c>
      <c r="B1047" t="s">
        <v>2247</v>
      </c>
      <c r="C1047" t="s">
        <v>2404</v>
      </c>
      <c r="D1047">
        <v>5</v>
      </c>
      <c r="E1047">
        <v>316.39999999999998</v>
      </c>
      <c r="F1047" t="s">
        <v>3009</v>
      </c>
      <c r="G1047" t="s">
        <v>3064</v>
      </c>
      <c r="H1047">
        <v>7</v>
      </c>
      <c r="I1047" t="s">
        <v>3068</v>
      </c>
      <c r="J1047">
        <v>1582</v>
      </c>
    </row>
    <row r="1048" spans="1:10" x14ac:dyDescent="0.25">
      <c r="A1048" t="s">
        <v>1056</v>
      </c>
      <c r="B1048" t="s">
        <v>2248</v>
      </c>
      <c r="C1048" t="s">
        <v>2401</v>
      </c>
      <c r="D1048">
        <v>3</v>
      </c>
      <c r="E1048">
        <v>547.15</v>
      </c>
      <c r="F1048" t="s">
        <v>3010</v>
      </c>
      <c r="G1048" t="s">
        <v>3062</v>
      </c>
      <c r="H1048">
        <v>4</v>
      </c>
      <c r="I1048" t="s">
        <v>3066</v>
      </c>
      <c r="J1048">
        <v>1641.45</v>
      </c>
    </row>
    <row r="1049" spans="1:10" x14ac:dyDescent="0.25">
      <c r="A1049" t="s">
        <v>1057</v>
      </c>
      <c r="B1049" t="s">
        <v>2249</v>
      </c>
      <c r="C1049" t="s">
        <v>2402</v>
      </c>
      <c r="D1049">
        <v>4</v>
      </c>
      <c r="E1049">
        <v>540.34</v>
      </c>
      <c r="F1049" t="s">
        <v>3011</v>
      </c>
      <c r="G1049" t="s">
        <v>3064</v>
      </c>
      <c r="H1049">
        <v>6</v>
      </c>
      <c r="I1049" t="s">
        <v>3067</v>
      </c>
      <c r="J1049">
        <v>2161.36</v>
      </c>
    </row>
    <row r="1050" spans="1:10" x14ac:dyDescent="0.25">
      <c r="A1050" t="s">
        <v>1058</v>
      </c>
      <c r="B1050" t="s">
        <v>2250</v>
      </c>
      <c r="C1050" t="s">
        <v>2399</v>
      </c>
      <c r="D1050">
        <v>4</v>
      </c>
      <c r="E1050">
        <v>73.650000000000006</v>
      </c>
      <c r="F1050" t="s">
        <v>3012</v>
      </c>
      <c r="G1050" t="s">
        <v>3061</v>
      </c>
      <c r="H1050">
        <v>9</v>
      </c>
      <c r="I1050" t="s">
        <v>3070</v>
      </c>
      <c r="J1050">
        <v>294.60000000000002</v>
      </c>
    </row>
    <row r="1051" spans="1:10" x14ac:dyDescent="0.25">
      <c r="A1051" t="s">
        <v>1059</v>
      </c>
      <c r="B1051" t="s">
        <v>2251</v>
      </c>
      <c r="C1051" t="s">
        <v>2405</v>
      </c>
      <c r="D1051">
        <v>5</v>
      </c>
      <c r="E1051">
        <v>391.86</v>
      </c>
      <c r="F1051" t="s">
        <v>2426</v>
      </c>
      <c r="G1051" t="s">
        <v>3063</v>
      </c>
      <c r="H1051">
        <v>6</v>
      </c>
      <c r="I1051" t="s">
        <v>3066</v>
      </c>
      <c r="J1051">
        <v>1959.3</v>
      </c>
    </row>
    <row r="1052" spans="1:10" x14ac:dyDescent="0.25">
      <c r="A1052" t="s">
        <v>1060</v>
      </c>
      <c r="B1052" t="s">
        <v>2252</v>
      </c>
      <c r="C1052" t="s">
        <v>2404</v>
      </c>
      <c r="D1052">
        <v>5</v>
      </c>
      <c r="E1052">
        <v>69.7</v>
      </c>
      <c r="F1052" t="s">
        <v>2801</v>
      </c>
      <c r="G1052" t="s">
        <v>3062</v>
      </c>
      <c r="H1052">
        <v>9</v>
      </c>
      <c r="I1052" t="s">
        <v>3066</v>
      </c>
      <c r="J1052">
        <v>348.5</v>
      </c>
    </row>
    <row r="1053" spans="1:10" x14ac:dyDescent="0.25">
      <c r="A1053" t="s">
        <v>1061</v>
      </c>
      <c r="B1053" t="s">
        <v>2253</v>
      </c>
      <c r="C1053" t="s">
        <v>2399</v>
      </c>
      <c r="D1053">
        <v>5</v>
      </c>
      <c r="E1053">
        <v>26.43</v>
      </c>
      <c r="F1053" t="s">
        <v>3013</v>
      </c>
      <c r="G1053" t="s">
        <v>3064</v>
      </c>
      <c r="H1053">
        <v>5</v>
      </c>
      <c r="I1053" t="s">
        <v>3069</v>
      </c>
      <c r="J1053">
        <v>132.15</v>
      </c>
    </row>
    <row r="1054" spans="1:10" x14ac:dyDescent="0.25">
      <c r="A1054" t="s">
        <v>1062</v>
      </c>
      <c r="B1054" t="s">
        <v>2254</v>
      </c>
      <c r="C1054" t="s">
        <v>2401</v>
      </c>
      <c r="D1054">
        <v>1</v>
      </c>
      <c r="E1054">
        <v>531.74</v>
      </c>
      <c r="F1054" t="s">
        <v>3014</v>
      </c>
      <c r="G1054" t="s">
        <v>3062</v>
      </c>
      <c r="H1054">
        <v>1</v>
      </c>
      <c r="I1054" t="s">
        <v>3070</v>
      </c>
      <c r="J1054">
        <v>531.74</v>
      </c>
    </row>
    <row r="1055" spans="1:10" x14ac:dyDescent="0.25">
      <c r="A1055" t="s">
        <v>1063</v>
      </c>
      <c r="B1055" t="s">
        <v>2255</v>
      </c>
      <c r="C1055" t="s">
        <v>2400</v>
      </c>
      <c r="D1055">
        <v>2</v>
      </c>
      <c r="E1055">
        <v>496.62</v>
      </c>
      <c r="F1055" t="s">
        <v>2980</v>
      </c>
      <c r="G1055" t="s">
        <v>3062</v>
      </c>
      <c r="H1055">
        <v>2</v>
      </c>
      <c r="I1055" t="s">
        <v>3066</v>
      </c>
      <c r="J1055">
        <v>993.24</v>
      </c>
    </row>
    <row r="1056" spans="1:10" x14ac:dyDescent="0.25">
      <c r="A1056" t="s">
        <v>1064</v>
      </c>
      <c r="B1056" t="s">
        <v>2256</v>
      </c>
      <c r="C1056" t="s">
        <v>2403</v>
      </c>
      <c r="D1056">
        <v>1</v>
      </c>
      <c r="E1056">
        <v>660.66</v>
      </c>
      <c r="F1056" t="s">
        <v>2486</v>
      </c>
      <c r="G1056" t="s">
        <v>3061</v>
      </c>
      <c r="H1056">
        <v>3</v>
      </c>
      <c r="I1056" t="s">
        <v>3066</v>
      </c>
      <c r="J1056">
        <v>660.66</v>
      </c>
    </row>
    <row r="1057" spans="1:10" x14ac:dyDescent="0.25">
      <c r="A1057" t="s">
        <v>1065</v>
      </c>
      <c r="B1057" t="s">
        <v>2257</v>
      </c>
      <c r="C1057" t="s">
        <v>2399</v>
      </c>
      <c r="D1057">
        <v>4</v>
      </c>
      <c r="E1057">
        <v>274.82</v>
      </c>
      <c r="F1057" t="s">
        <v>2813</v>
      </c>
      <c r="G1057" t="s">
        <v>3061</v>
      </c>
      <c r="H1057">
        <v>9</v>
      </c>
      <c r="I1057" t="s">
        <v>3068</v>
      </c>
      <c r="J1057">
        <v>1099.28</v>
      </c>
    </row>
    <row r="1058" spans="1:10" x14ac:dyDescent="0.25">
      <c r="A1058" t="s">
        <v>1066</v>
      </c>
      <c r="B1058" t="s">
        <v>2258</v>
      </c>
      <c r="C1058" t="s">
        <v>2400</v>
      </c>
      <c r="D1058">
        <v>2</v>
      </c>
      <c r="E1058">
        <v>486.35</v>
      </c>
      <c r="F1058" t="s">
        <v>2562</v>
      </c>
      <c r="G1058" t="s">
        <v>3062</v>
      </c>
      <c r="H1058">
        <v>6</v>
      </c>
      <c r="I1058" t="s">
        <v>3067</v>
      </c>
      <c r="J1058">
        <v>972.7</v>
      </c>
    </row>
    <row r="1059" spans="1:10" x14ac:dyDescent="0.25">
      <c r="A1059" t="s">
        <v>1067</v>
      </c>
      <c r="B1059" t="s">
        <v>2259</v>
      </c>
      <c r="C1059" t="s">
        <v>2404</v>
      </c>
      <c r="D1059">
        <v>3</v>
      </c>
      <c r="E1059">
        <v>428.88</v>
      </c>
      <c r="F1059" t="s">
        <v>2559</v>
      </c>
      <c r="G1059" t="s">
        <v>3061</v>
      </c>
      <c r="H1059">
        <v>3</v>
      </c>
      <c r="I1059" t="s">
        <v>3069</v>
      </c>
      <c r="J1059">
        <v>1286.6400000000001</v>
      </c>
    </row>
    <row r="1060" spans="1:10" x14ac:dyDescent="0.25">
      <c r="A1060" t="s">
        <v>1068</v>
      </c>
      <c r="B1060" t="s">
        <v>2260</v>
      </c>
      <c r="C1060" t="s">
        <v>2405</v>
      </c>
      <c r="D1060">
        <v>2</v>
      </c>
      <c r="E1060">
        <v>412.14</v>
      </c>
      <c r="F1060" t="s">
        <v>2636</v>
      </c>
      <c r="G1060" t="s">
        <v>3063</v>
      </c>
      <c r="H1060">
        <v>2</v>
      </c>
      <c r="I1060" t="s">
        <v>3066</v>
      </c>
      <c r="J1060">
        <v>824.28</v>
      </c>
    </row>
    <row r="1061" spans="1:10" x14ac:dyDescent="0.25">
      <c r="A1061" t="s">
        <v>1069</v>
      </c>
      <c r="B1061" t="s">
        <v>2261</v>
      </c>
      <c r="C1061" t="s">
        <v>2405</v>
      </c>
      <c r="D1061">
        <v>1</v>
      </c>
      <c r="E1061">
        <v>265.64</v>
      </c>
      <c r="F1061" t="s">
        <v>3015</v>
      </c>
      <c r="G1061" t="s">
        <v>3063</v>
      </c>
      <c r="H1061">
        <v>3</v>
      </c>
      <c r="I1061" t="s">
        <v>3066</v>
      </c>
      <c r="J1061">
        <v>265.64</v>
      </c>
    </row>
    <row r="1062" spans="1:10" x14ac:dyDescent="0.25">
      <c r="A1062" t="s">
        <v>1070</v>
      </c>
      <c r="B1062" t="s">
        <v>2262</v>
      </c>
      <c r="C1062" t="s">
        <v>2401</v>
      </c>
      <c r="D1062">
        <v>2</v>
      </c>
      <c r="E1062">
        <v>273.43</v>
      </c>
      <c r="F1062" t="s">
        <v>2698</v>
      </c>
      <c r="G1062" t="s">
        <v>3065</v>
      </c>
      <c r="H1062">
        <v>7</v>
      </c>
      <c r="I1062" t="s">
        <v>3067</v>
      </c>
      <c r="J1062">
        <v>546.86</v>
      </c>
    </row>
    <row r="1063" spans="1:10" x14ac:dyDescent="0.25">
      <c r="A1063" t="s">
        <v>1071</v>
      </c>
      <c r="B1063" t="s">
        <v>2263</v>
      </c>
      <c r="C1063" t="s">
        <v>2404</v>
      </c>
      <c r="D1063">
        <v>5</v>
      </c>
      <c r="E1063">
        <v>131.69999999999999</v>
      </c>
      <c r="F1063" t="s">
        <v>2438</v>
      </c>
      <c r="G1063" t="s">
        <v>3065</v>
      </c>
      <c r="H1063">
        <v>8</v>
      </c>
      <c r="I1063" t="s">
        <v>3070</v>
      </c>
      <c r="J1063">
        <v>658.5</v>
      </c>
    </row>
    <row r="1064" spans="1:10" x14ac:dyDescent="0.25">
      <c r="A1064" t="s">
        <v>1072</v>
      </c>
      <c r="B1064" t="s">
        <v>2264</v>
      </c>
      <c r="C1064" t="s">
        <v>2402</v>
      </c>
      <c r="D1064">
        <v>5</v>
      </c>
      <c r="E1064">
        <v>85.52</v>
      </c>
      <c r="F1064" t="s">
        <v>2672</v>
      </c>
      <c r="G1064" t="s">
        <v>3064</v>
      </c>
      <c r="H1064">
        <v>5</v>
      </c>
      <c r="I1064" t="s">
        <v>3069</v>
      </c>
      <c r="J1064">
        <v>427.6</v>
      </c>
    </row>
    <row r="1065" spans="1:10" x14ac:dyDescent="0.25">
      <c r="A1065" t="s">
        <v>1073</v>
      </c>
      <c r="B1065" t="s">
        <v>2265</v>
      </c>
      <c r="C1065" t="s">
        <v>2405</v>
      </c>
      <c r="D1065">
        <v>2</v>
      </c>
      <c r="E1065">
        <v>320.68</v>
      </c>
      <c r="F1065" t="s">
        <v>2560</v>
      </c>
      <c r="G1065" t="s">
        <v>3063</v>
      </c>
      <c r="H1065">
        <v>5</v>
      </c>
      <c r="I1065" t="s">
        <v>3067</v>
      </c>
      <c r="J1065">
        <v>641.36</v>
      </c>
    </row>
    <row r="1066" spans="1:10" x14ac:dyDescent="0.25">
      <c r="A1066" t="s">
        <v>1074</v>
      </c>
      <c r="B1066" t="s">
        <v>2266</v>
      </c>
      <c r="C1066" t="s">
        <v>2404</v>
      </c>
      <c r="D1066">
        <v>4</v>
      </c>
      <c r="E1066">
        <v>198.81</v>
      </c>
      <c r="F1066" t="s">
        <v>2642</v>
      </c>
      <c r="G1066" t="s">
        <v>3065</v>
      </c>
      <c r="H1066">
        <v>9</v>
      </c>
      <c r="I1066" t="s">
        <v>3067</v>
      </c>
      <c r="J1066">
        <v>795.24</v>
      </c>
    </row>
    <row r="1067" spans="1:10" x14ac:dyDescent="0.25">
      <c r="A1067" t="s">
        <v>1075</v>
      </c>
      <c r="B1067" t="s">
        <v>2267</v>
      </c>
      <c r="C1067" t="s">
        <v>2403</v>
      </c>
      <c r="D1067">
        <v>5</v>
      </c>
      <c r="E1067">
        <v>666.8</v>
      </c>
      <c r="F1067" t="s">
        <v>2742</v>
      </c>
      <c r="G1067" t="s">
        <v>3061</v>
      </c>
      <c r="H1067">
        <v>7</v>
      </c>
      <c r="I1067" t="s">
        <v>3067</v>
      </c>
      <c r="J1067">
        <v>3334</v>
      </c>
    </row>
    <row r="1068" spans="1:10" x14ac:dyDescent="0.25">
      <c r="A1068" t="s">
        <v>1076</v>
      </c>
      <c r="B1068" t="s">
        <v>2268</v>
      </c>
      <c r="C1068" t="s">
        <v>2405</v>
      </c>
      <c r="D1068">
        <v>1</v>
      </c>
      <c r="E1068">
        <v>355.09</v>
      </c>
      <c r="F1068" t="s">
        <v>2874</v>
      </c>
      <c r="G1068" t="s">
        <v>3061</v>
      </c>
      <c r="H1068">
        <v>5</v>
      </c>
      <c r="I1068" t="s">
        <v>3066</v>
      </c>
      <c r="J1068">
        <v>355.09</v>
      </c>
    </row>
    <row r="1069" spans="1:10" x14ac:dyDescent="0.25">
      <c r="A1069" t="s">
        <v>1077</v>
      </c>
      <c r="B1069" t="s">
        <v>2269</v>
      </c>
      <c r="C1069" t="s">
        <v>2400</v>
      </c>
      <c r="D1069">
        <v>2</v>
      </c>
      <c r="E1069">
        <v>316.2</v>
      </c>
      <c r="F1069" t="s">
        <v>2471</v>
      </c>
      <c r="G1069" t="s">
        <v>3062</v>
      </c>
      <c r="H1069">
        <v>2</v>
      </c>
      <c r="I1069" t="s">
        <v>3066</v>
      </c>
      <c r="J1069">
        <v>632.4</v>
      </c>
    </row>
    <row r="1070" spans="1:10" x14ac:dyDescent="0.25">
      <c r="A1070" t="s">
        <v>1078</v>
      </c>
      <c r="B1070" t="s">
        <v>2270</v>
      </c>
      <c r="C1070" t="s">
        <v>2404</v>
      </c>
      <c r="D1070">
        <v>1</v>
      </c>
      <c r="E1070">
        <v>133.38999999999999</v>
      </c>
      <c r="F1070" t="s">
        <v>3016</v>
      </c>
      <c r="G1070" t="s">
        <v>3061</v>
      </c>
      <c r="H1070">
        <v>2</v>
      </c>
      <c r="I1070" t="s">
        <v>3067</v>
      </c>
      <c r="J1070">
        <v>133.38999999999999</v>
      </c>
    </row>
    <row r="1071" spans="1:10" x14ac:dyDescent="0.25">
      <c r="A1071" t="s">
        <v>1079</v>
      </c>
      <c r="B1071" t="s">
        <v>2271</v>
      </c>
      <c r="C1071" t="s">
        <v>2399</v>
      </c>
      <c r="D1071">
        <v>1</v>
      </c>
      <c r="E1071">
        <v>454.23</v>
      </c>
      <c r="F1071" t="s">
        <v>2613</v>
      </c>
      <c r="G1071" t="s">
        <v>3064</v>
      </c>
      <c r="H1071">
        <v>3</v>
      </c>
      <c r="I1071" t="s">
        <v>3069</v>
      </c>
      <c r="J1071">
        <v>454.23</v>
      </c>
    </row>
    <row r="1072" spans="1:10" x14ac:dyDescent="0.25">
      <c r="A1072" t="s">
        <v>1080</v>
      </c>
      <c r="B1072" t="s">
        <v>2272</v>
      </c>
      <c r="C1072" t="s">
        <v>2405</v>
      </c>
      <c r="D1072">
        <v>4</v>
      </c>
      <c r="E1072">
        <v>491.29</v>
      </c>
      <c r="F1072" t="s">
        <v>2481</v>
      </c>
      <c r="G1072" t="s">
        <v>3061</v>
      </c>
      <c r="H1072">
        <v>6</v>
      </c>
      <c r="I1072" t="s">
        <v>3068</v>
      </c>
      <c r="J1072">
        <v>1965.16</v>
      </c>
    </row>
    <row r="1073" spans="1:10" x14ac:dyDescent="0.25">
      <c r="A1073" t="s">
        <v>1081</v>
      </c>
      <c r="B1073" t="s">
        <v>2273</v>
      </c>
      <c r="C1073" t="s">
        <v>2400</v>
      </c>
      <c r="D1073">
        <v>2</v>
      </c>
      <c r="E1073">
        <v>255.14</v>
      </c>
      <c r="F1073" t="s">
        <v>2713</v>
      </c>
      <c r="G1073" t="s">
        <v>3065</v>
      </c>
      <c r="H1073">
        <v>2</v>
      </c>
      <c r="I1073" t="s">
        <v>3070</v>
      </c>
      <c r="J1073">
        <v>510.28</v>
      </c>
    </row>
    <row r="1074" spans="1:10" x14ac:dyDescent="0.25">
      <c r="A1074" t="s">
        <v>1082</v>
      </c>
      <c r="B1074" t="s">
        <v>2274</v>
      </c>
      <c r="C1074" t="s">
        <v>2399</v>
      </c>
      <c r="D1074">
        <v>1</v>
      </c>
      <c r="E1074">
        <v>392.61</v>
      </c>
      <c r="F1074" t="s">
        <v>2631</v>
      </c>
      <c r="G1074" t="s">
        <v>3064</v>
      </c>
      <c r="H1074">
        <v>4</v>
      </c>
      <c r="I1074" t="s">
        <v>3067</v>
      </c>
      <c r="J1074">
        <v>392.61</v>
      </c>
    </row>
    <row r="1075" spans="1:10" x14ac:dyDescent="0.25">
      <c r="A1075" t="s">
        <v>1083</v>
      </c>
      <c r="B1075" t="s">
        <v>2275</v>
      </c>
      <c r="C1075" t="s">
        <v>2401</v>
      </c>
      <c r="D1075">
        <v>4</v>
      </c>
      <c r="E1075">
        <v>362.06</v>
      </c>
      <c r="F1075" t="s">
        <v>2627</v>
      </c>
      <c r="G1075" t="s">
        <v>3061</v>
      </c>
      <c r="H1075">
        <v>4</v>
      </c>
      <c r="I1075" t="s">
        <v>3069</v>
      </c>
      <c r="J1075">
        <v>1448.24</v>
      </c>
    </row>
    <row r="1076" spans="1:10" x14ac:dyDescent="0.25">
      <c r="A1076" t="s">
        <v>1084</v>
      </c>
      <c r="B1076" t="s">
        <v>2276</v>
      </c>
      <c r="C1076" t="s">
        <v>2400</v>
      </c>
      <c r="D1076">
        <v>1</v>
      </c>
      <c r="E1076">
        <v>222.73</v>
      </c>
      <c r="F1076" t="s">
        <v>3017</v>
      </c>
      <c r="G1076" t="s">
        <v>3062</v>
      </c>
      <c r="H1076">
        <v>4</v>
      </c>
      <c r="I1076" t="s">
        <v>3070</v>
      </c>
      <c r="J1076">
        <v>222.73</v>
      </c>
    </row>
    <row r="1077" spans="1:10" x14ac:dyDescent="0.25">
      <c r="A1077" t="s">
        <v>1085</v>
      </c>
      <c r="B1077" t="s">
        <v>2277</v>
      </c>
      <c r="C1077" t="s">
        <v>2399</v>
      </c>
      <c r="D1077">
        <v>2</v>
      </c>
      <c r="E1077">
        <v>552.63</v>
      </c>
      <c r="F1077" t="s">
        <v>2587</v>
      </c>
      <c r="G1077" t="s">
        <v>3061</v>
      </c>
      <c r="H1077">
        <v>7</v>
      </c>
      <c r="I1077" t="s">
        <v>3066</v>
      </c>
      <c r="J1077">
        <v>1105.26</v>
      </c>
    </row>
    <row r="1078" spans="1:10" x14ac:dyDescent="0.25">
      <c r="A1078" t="s">
        <v>1086</v>
      </c>
      <c r="B1078" t="s">
        <v>2278</v>
      </c>
      <c r="C1078" t="s">
        <v>2404</v>
      </c>
      <c r="D1078">
        <v>4</v>
      </c>
      <c r="E1078">
        <v>686.61</v>
      </c>
      <c r="F1078" t="s">
        <v>3001</v>
      </c>
      <c r="G1078" t="s">
        <v>3065</v>
      </c>
      <c r="H1078">
        <v>6</v>
      </c>
      <c r="I1078" t="s">
        <v>3067</v>
      </c>
      <c r="J1078">
        <v>2746.44</v>
      </c>
    </row>
    <row r="1079" spans="1:10" x14ac:dyDescent="0.25">
      <c r="A1079" t="s">
        <v>1087</v>
      </c>
      <c r="B1079" t="s">
        <v>2279</v>
      </c>
      <c r="C1079" t="s">
        <v>2403</v>
      </c>
      <c r="D1079">
        <v>3</v>
      </c>
      <c r="E1079">
        <v>305.16000000000003</v>
      </c>
      <c r="F1079" t="s">
        <v>2513</v>
      </c>
      <c r="G1079" t="s">
        <v>3063</v>
      </c>
      <c r="H1079">
        <v>8</v>
      </c>
      <c r="I1079" t="s">
        <v>3067</v>
      </c>
      <c r="J1079">
        <v>915.48</v>
      </c>
    </row>
    <row r="1080" spans="1:10" x14ac:dyDescent="0.25">
      <c r="A1080" t="s">
        <v>1088</v>
      </c>
      <c r="B1080" t="s">
        <v>2280</v>
      </c>
      <c r="C1080" t="s">
        <v>2405</v>
      </c>
      <c r="D1080">
        <v>1</v>
      </c>
      <c r="E1080">
        <v>41.09</v>
      </c>
      <c r="F1080" t="s">
        <v>2433</v>
      </c>
      <c r="G1080" t="s">
        <v>3062</v>
      </c>
      <c r="H1080">
        <v>4</v>
      </c>
      <c r="I1080" t="s">
        <v>3068</v>
      </c>
      <c r="J1080">
        <v>41.09</v>
      </c>
    </row>
    <row r="1081" spans="1:10" x14ac:dyDescent="0.25">
      <c r="A1081" t="s">
        <v>1089</v>
      </c>
      <c r="B1081" t="s">
        <v>2281</v>
      </c>
      <c r="C1081" t="s">
        <v>2400</v>
      </c>
      <c r="D1081">
        <v>5</v>
      </c>
      <c r="E1081">
        <v>634</v>
      </c>
      <c r="F1081" t="s">
        <v>2976</v>
      </c>
      <c r="G1081" t="s">
        <v>3064</v>
      </c>
      <c r="H1081">
        <v>8</v>
      </c>
      <c r="I1081" t="s">
        <v>3068</v>
      </c>
      <c r="J1081">
        <v>3170</v>
      </c>
    </row>
    <row r="1082" spans="1:10" x14ac:dyDescent="0.25">
      <c r="A1082" t="s">
        <v>1090</v>
      </c>
      <c r="B1082" t="s">
        <v>2282</v>
      </c>
      <c r="C1082" t="s">
        <v>2404</v>
      </c>
      <c r="D1082">
        <v>5</v>
      </c>
      <c r="E1082">
        <v>464.74</v>
      </c>
      <c r="F1082" t="s">
        <v>3018</v>
      </c>
      <c r="G1082" t="s">
        <v>3064</v>
      </c>
      <c r="H1082">
        <v>7</v>
      </c>
      <c r="I1082" t="s">
        <v>3067</v>
      </c>
      <c r="J1082">
        <v>2323.6999999999998</v>
      </c>
    </row>
    <row r="1083" spans="1:10" x14ac:dyDescent="0.25">
      <c r="A1083" t="s">
        <v>1091</v>
      </c>
      <c r="B1083" t="s">
        <v>2283</v>
      </c>
      <c r="C1083" t="s">
        <v>2399</v>
      </c>
      <c r="D1083">
        <v>4</v>
      </c>
      <c r="E1083">
        <v>425.6</v>
      </c>
      <c r="F1083" t="s">
        <v>2700</v>
      </c>
      <c r="G1083" t="s">
        <v>3063</v>
      </c>
      <c r="H1083">
        <v>5</v>
      </c>
      <c r="I1083" t="s">
        <v>3070</v>
      </c>
      <c r="J1083">
        <v>1702.4</v>
      </c>
    </row>
    <row r="1084" spans="1:10" x14ac:dyDescent="0.25">
      <c r="A1084" t="s">
        <v>1092</v>
      </c>
      <c r="B1084" t="s">
        <v>2284</v>
      </c>
      <c r="C1084" t="s">
        <v>2402</v>
      </c>
      <c r="D1084">
        <v>3</v>
      </c>
      <c r="E1084">
        <v>573.22</v>
      </c>
      <c r="F1084" t="s">
        <v>3007</v>
      </c>
      <c r="G1084" t="s">
        <v>3061</v>
      </c>
      <c r="H1084">
        <v>5</v>
      </c>
      <c r="I1084" t="s">
        <v>3068</v>
      </c>
      <c r="J1084">
        <v>1719.66</v>
      </c>
    </row>
    <row r="1085" spans="1:10" x14ac:dyDescent="0.25">
      <c r="A1085" t="s">
        <v>1093</v>
      </c>
      <c r="B1085" t="s">
        <v>2285</v>
      </c>
      <c r="C1085" t="s">
        <v>2402</v>
      </c>
      <c r="D1085">
        <v>1</v>
      </c>
      <c r="E1085">
        <v>123.28</v>
      </c>
      <c r="F1085" t="s">
        <v>2436</v>
      </c>
      <c r="G1085" t="s">
        <v>3063</v>
      </c>
      <c r="H1085">
        <v>3</v>
      </c>
      <c r="I1085" t="s">
        <v>3068</v>
      </c>
      <c r="J1085">
        <v>123.28</v>
      </c>
    </row>
    <row r="1086" spans="1:10" x14ac:dyDescent="0.25">
      <c r="A1086" t="s">
        <v>1094</v>
      </c>
      <c r="B1086" t="s">
        <v>2286</v>
      </c>
      <c r="C1086" t="s">
        <v>2400</v>
      </c>
      <c r="D1086">
        <v>1</v>
      </c>
      <c r="E1086">
        <v>70.819999999999993</v>
      </c>
      <c r="F1086" t="s">
        <v>2441</v>
      </c>
      <c r="G1086" t="s">
        <v>3064</v>
      </c>
      <c r="H1086">
        <v>1</v>
      </c>
      <c r="I1086" t="s">
        <v>3066</v>
      </c>
      <c r="J1086">
        <v>70.819999999999993</v>
      </c>
    </row>
    <row r="1087" spans="1:10" x14ac:dyDescent="0.25">
      <c r="A1087" t="s">
        <v>1095</v>
      </c>
      <c r="B1087" t="s">
        <v>2287</v>
      </c>
      <c r="C1087" t="s">
        <v>2403</v>
      </c>
      <c r="D1087">
        <v>2</v>
      </c>
      <c r="E1087">
        <v>646.69000000000005</v>
      </c>
      <c r="F1087" t="s">
        <v>2541</v>
      </c>
      <c r="G1087" t="s">
        <v>3061</v>
      </c>
      <c r="H1087">
        <v>7</v>
      </c>
      <c r="I1087" t="s">
        <v>3066</v>
      </c>
      <c r="J1087">
        <v>1293.3800000000001</v>
      </c>
    </row>
    <row r="1088" spans="1:10" x14ac:dyDescent="0.25">
      <c r="A1088" t="s">
        <v>1096</v>
      </c>
      <c r="B1088" t="s">
        <v>2288</v>
      </c>
      <c r="C1088" t="s">
        <v>2401</v>
      </c>
      <c r="D1088">
        <v>2</v>
      </c>
      <c r="E1088">
        <v>513.41999999999996</v>
      </c>
      <c r="F1088" t="s">
        <v>3019</v>
      </c>
      <c r="G1088" t="s">
        <v>3062</v>
      </c>
      <c r="H1088">
        <v>5</v>
      </c>
      <c r="I1088" t="s">
        <v>3066</v>
      </c>
      <c r="J1088">
        <v>1026.8399999999999</v>
      </c>
    </row>
    <row r="1089" spans="1:10" x14ac:dyDescent="0.25">
      <c r="A1089" t="s">
        <v>1097</v>
      </c>
      <c r="B1089" t="s">
        <v>2289</v>
      </c>
      <c r="C1089" t="s">
        <v>2404</v>
      </c>
      <c r="D1089">
        <v>4</v>
      </c>
      <c r="E1089">
        <v>693.07</v>
      </c>
      <c r="F1089" t="s">
        <v>3020</v>
      </c>
      <c r="G1089" t="s">
        <v>3062</v>
      </c>
      <c r="H1089">
        <v>8</v>
      </c>
      <c r="I1089" t="s">
        <v>3066</v>
      </c>
      <c r="J1089">
        <v>2772.28</v>
      </c>
    </row>
    <row r="1090" spans="1:10" x14ac:dyDescent="0.25">
      <c r="A1090" t="s">
        <v>1098</v>
      </c>
      <c r="B1090" t="s">
        <v>2290</v>
      </c>
      <c r="C1090" t="s">
        <v>2405</v>
      </c>
      <c r="D1090">
        <v>3</v>
      </c>
      <c r="E1090">
        <v>491.43</v>
      </c>
      <c r="F1090" t="s">
        <v>3021</v>
      </c>
      <c r="G1090" t="s">
        <v>3064</v>
      </c>
      <c r="H1090">
        <v>6</v>
      </c>
      <c r="I1090" t="s">
        <v>3066</v>
      </c>
      <c r="J1090">
        <v>1474.29</v>
      </c>
    </row>
    <row r="1091" spans="1:10" x14ac:dyDescent="0.25">
      <c r="A1091" t="s">
        <v>1099</v>
      </c>
      <c r="B1091" t="s">
        <v>2291</v>
      </c>
      <c r="C1091" t="s">
        <v>2401</v>
      </c>
      <c r="D1091">
        <v>2</v>
      </c>
      <c r="E1091">
        <v>599.74</v>
      </c>
      <c r="F1091" t="s">
        <v>2469</v>
      </c>
      <c r="G1091" t="s">
        <v>3064</v>
      </c>
      <c r="H1091">
        <v>2</v>
      </c>
      <c r="I1091" t="s">
        <v>3066</v>
      </c>
      <c r="J1091">
        <v>1199.48</v>
      </c>
    </row>
    <row r="1092" spans="1:10" x14ac:dyDescent="0.25">
      <c r="A1092" t="s">
        <v>1100</v>
      </c>
      <c r="B1092" t="s">
        <v>2292</v>
      </c>
      <c r="C1092" t="s">
        <v>2399</v>
      </c>
      <c r="D1092">
        <v>2</v>
      </c>
      <c r="E1092">
        <v>650.25</v>
      </c>
      <c r="F1092" t="s">
        <v>2437</v>
      </c>
      <c r="G1092" t="s">
        <v>3064</v>
      </c>
      <c r="H1092">
        <v>6</v>
      </c>
      <c r="I1092" t="s">
        <v>3066</v>
      </c>
      <c r="J1092">
        <v>1300.5</v>
      </c>
    </row>
    <row r="1093" spans="1:10" x14ac:dyDescent="0.25">
      <c r="A1093" t="s">
        <v>1101</v>
      </c>
      <c r="B1093" t="s">
        <v>2293</v>
      </c>
      <c r="C1093" t="s">
        <v>2404</v>
      </c>
      <c r="D1093">
        <v>3</v>
      </c>
      <c r="E1093">
        <v>209.48</v>
      </c>
      <c r="F1093" t="s">
        <v>2735</v>
      </c>
      <c r="G1093" t="s">
        <v>3061</v>
      </c>
      <c r="H1093">
        <v>4</v>
      </c>
      <c r="I1093" t="s">
        <v>3068</v>
      </c>
      <c r="J1093">
        <v>628.43999999999994</v>
      </c>
    </row>
    <row r="1094" spans="1:10" x14ac:dyDescent="0.25">
      <c r="A1094" t="s">
        <v>1102</v>
      </c>
      <c r="B1094" t="s">
        <v>2294</v>
      </c>
      <c r="C1094" t="s">
        <v>2404</v>
      </c>
      <c r="D1094">
        <v>5</v>
      </c>
      <c r="E1094">
        <v>209.2</v>
      </c>
      <c r="F1094" t="s">
        <v>2435</v>
      </c>
      <c r="G1094" t="s">
        <v>3061</v>
      </c>
      <c r="H1094">
        <v>6</v>
      </c>
      <c r="I1094" t="s">
        <v>3068</v>
      </c>
      <c r="J1094">
        <v>1046</v>
      </c>
    </row>
    <row r="1095" spans="1:10" x14ac:dyDescent="0.25">
      <c r="A1095" t="s">
        <v>1103</v>
      </c>
      <c r="B1095" t="s">
        <v>2295</v>
      </c>
      <c r="C1095" t="s">
        <v>2400</v>
      </c>
      <c r="D1095">
        <v>4</v>
      </c>
      <c r="E1095">
        <v>197.36</v>
      </c>
      <c r="F1095" t="s">
        <v>3022</v>
      </c>
      <c r="G1095" t="s">
        <v>3064</v>
      </c>
      <c r="H1095">
        <v>9</v>
      </c>
      <c r="I1095" t="s">
        <v>3066</v>
      </c>
      <c r="J1095">
        <v>789.44</v>
      </c>
    </row>
    <row r="1096" spans="1:10" x14ac:dyDescent="0.25">
      <c r="A1096" t="s">
        <v>1104</v>
      </c>
      <c r="B1096" t="s">
        <v>2296</v>
      </c>
      <c r="C1096" t="s">
        <v>2403</v>
      </c>
      <c r="D1096">
        <v>4</v>
      </c>
      <c r="E1096">
        <v>648.91</v>
      </c>
      <c r="F1096" t="s">
        <v>3023</v>
      </c>
      <c r="G1096" t="s">
        <v>3063</v>
      </c>
      <c r="H1096">
        <v>6</v>
      </c>
      <c r="I1096" t="s">
        <v>3066</v>
      </c>
      <c r="J1096">
        <v>2595.64</v>
      </c>
    </row>
    <row r="1097" spans="1:10" x14ac:dyDescent="0.25">
      <c r="A1097" t="s">
        <v>1105</v>
      </c>
      <c r="B1097" t="s">
        <v>2297</v>
      </c>
      <c r="C1097" t="s">
        <v>2400</v>
      </c>
      <c r="D1097">
        <v>2</v>
      </c>
      <c r="E1097">
        <v>441.54</v>
      </c>
      <c r="F1097" t="s">
        <v>3024</v>
      </c>
      <c r="G1097" t="s">
        <v>3062</v>
      </c>
      <c r="H1097">
        <v>2</v>
      </c>
      <c r="I1097" t="s">
        <v>3068</v>
      </c>
      <c r="J1097">
        <v>883.08</v>
      </c>
    </row>
    <row r="1098" spans="1:10" x14ac:dyDescent="0.25">
      <c r="A1098" t="s">
        <v>1106</v>
      </c>
      <c r="B1098" t="s">
        <v>2298</v>
      </c>
      <c r="C1098" t="s">
        <v>2401</v>
      </c>
      <c r="D1098">
        <v>2</v>
      </c>
      <c r="E1098">
        <v>464.92</v>
      </c>
      <c r="F1098" t="s">
        <v>3025</v>
      </c>
      <c r="G1098" t="s">
        <v>3061</v>
      </c>
      <c r="H1098">
        <v>2</v>
      </c>
      <c r="I1098" t="s">
        <v>3069</v>
      </c>
      <c r="J1098">
        <v>929.84</v>
      </c>
    </row>
    <row r="1099" spans="1:10" x14ac:dyDescent="0.25">
      <c r="A1099" t="s">
        <v>1107</v>
      </c>
      <c r="B1099" t="s">
        <v>2299</v>
      </c>
      <c r="C1099" t="s">
        <v>2399</v>
      </c>
      <c r="D1099">
        <v>5</v>
      </c>
      <c r="E1099">
        <v>506.45</v>
      </c>
      <c r="F1099" t="s">
        <v>3026</v>
      </c>
      <c r="G1099" t="s">
        <v>3064</v>
      </c>
      <c r="H1099">
        <v>7</v>
      </c>
      <c r="I1099" t="s">
        <v>3070</v>
      </c>
      <c r="J1099">
        <v>2532.25</v>
      </c>
    </row>
    <row r="1100" spans="1:10" x14ac:dyDescent="0.25">
      <c r="A1100" t="s">
        <v>1108</v>
      </c>
      <c r="B1100" t="s">
        <v>2300</v>
      </c>
      <c r="C1100" t="s">
        <v>2399</v>
      </c>
      <c r="D1100">
        <v>4</v>
      </c>
      <c r="E1100">
        <v>255.86</v>
      </c>
      <c r="F1100" t="s">
        <v>3027</v>
      </c>
      <c r="G1100" t="s">
        <v>3063</v>
      </c>
      <c r="H1100">
        <v>7</v>
      </c>
      <c r="I1100" t="s">
        <v>3068</v>
      </c>
      <c r="J1100">
        <v>1023.44</v>
      </c>
    </row>
    <row r="1101" spans="1:10" x14ac:dyDescent="0.25">
      <c r="A1101" t="s">
        <v>1109</v>
      </c>
      <c r="B1101" t="s">
        <v>2301</v>
      </c>
      <c r="C1101" t="s">
        <v>2404</v>
      </c>
      <c r="D1101">
        <v>2</v>
      </c>
      <c r="E1101">
        <v>125.23</v>
      </c>
      <c r="F1101" t="s">
        <v>2720</v>
      </c>
      <c r="G1101" t="s">
        <v>3065</v>
      </c>
      <c r="H1101">
        <v>3</v>
      </c>
      <c r="I1101" t="s">
        <v>3068</v>
      </c>
      <c r="J1101">
        <v>250.46</v>
      </c>
    </row>
    <row r="1102" spans="1:10" x14ac:dyDescent="0.25">
      <c r="A1102" t="s">
        <v>1110</v>
      </c>
      <c r="B1102" t="s">
        <v>2302</v>
      </c>
      <c r="C1102" t="s">
        <v>2404</v>
      </c>
      <c r="D1102">
        <v>5</v>
      </c>
      <c r="E1102">
        <v>38.11</v>
      </c>
      <c r="F1102" t="s">
        <v>3028</v>
      </c>
      <c r="G1102" t="s">
        <v>3061</v>
      </c>
      <c r="H1102">
        <v>6</v>
      </c>
      <c r="I1102" t="s">
        <v>3066</v>
      </c>
      <c r="J1102">
        <v>190.55</v>
      </c>
    </row>
    <row r="1103" spans="1:10" x14ac:dyDescent="0.25">
      <c r="A1103" t="s">
        <v>1111</v>
      </c>
      <c r="B1103" t="s">
        <v>2303</v>
      </c>
      <c r="C1103" t="s">
        <v>2399</v>
      </c>
      <c r="D1103">
        <v>3</v>
      </c>
      <c r="E1103">
        <v>161.97</v>
      </c>
      <c r="F1103" t="s">
        <v>2414</v>
      </c>
      <c r="G1103" t="s">
        <v>3065</v>
      </c>
      <c r="H1103">
        <v>4</v>
      </c>
      <c r="I1103" t="s">
        <v>3068</v>
      </c>
      <c r="J1103">
        <v>485.91</v>
      </c>
    </row>
    <row r="1104" spans="1:10" x14ac:dyDescent="0.25">
      <c r="A1104" t="s">
        <v>1112</v>
      </c>
      <c r="B1104" t="s">
        <v>1224</v>
      </c>
      <c r="C1104" t="s">
        <v>2402</v>
      </c>
      <c r="D1104">
        <v>4</v>
      </c>
      <c r="E1104">
        <v>347.17</v>
      </c>
      <c r="F1104" t="s">
        <v>2900</v>
      </c>
      <c r="G1104" t="s">
        <v>3061</v>
      </c>
      <c r="H1104">
        <v>8</v>
      </c>
      <c r="I1104" t="s">
        <v>3066</v>
      </c>
      <c r="J1104">
        <v>1388.68</v>
      </c>
    </row>
    <row r="1105" spans="1:10" x14ac:dyDescent="0.25">
      <c r="A1105" t="s">
        <v>1113</v>
      </c>
      <c r="B1105" t="s">
        <v>2304</v>
      </c>
      <c r="C1105" t="s">
        <v>2404</v>
      </c>
      <c r="D1105">
        <v>4</v>
      </c>
      <c r="E1105">
        <v>276.32</v>
      </c>
      <c r="F1105" t="s">
        <v>2473</v>
      </c>
      <c r="G1105" t="s">
        <v>3062</v>
      </c>
      <c r="H1105">
        <v>5</v>
      </c>
      <c r="I1105" t="s">
        <v>3070</v>
      </c>
      <c r="J1105">
        <v>1105.28</v>
      </c>
    </row>
    <row r="1106" spans="1:10" x14ac:dyDescent="0.25">
      <c r="A1106" t="s">
        <v>1114</v>
      </c>
      <c r="B1106" t="s">
        <v>2305</v>
      </c>
      <c r="C1106" t="s">
        <v>2401</v>
      </c>
      <c r="D1106">
        <v>4</v>
      </c>
      <c r="E1106">
        <v>314.76</v>
      </c>
      <c r="F1106" t="s">
        <v>3029</v>
      </c>
      <c r="G1106" t="s">
        <v>3062</v>
      </c>
      <c r="H1106">
        <v>8</v>
      </c>
      <c r="I1106" t="s">
        <v>3066</v>
      </c>
      <c r="J1106">
        <v>1259.04</v>
      </c>
    </row>
    <row r="1107" spans="1:10" x14ac:dyDescent="0.25">
      <c r="A1107" t="s">
        <v>1115</v>
      </c>
      <c r="B1107" t="s">
        <v>2306</v>
      </c>
      <c r="C1107" t="s">
        <v>2401</v>
      </c>
      <c r="D1107">
        <v>3</v>
      </c>
      <c r="E1107">
        <v>475.69</v>
      </c>
      <c r="F1107" t="s">
        <v>2640</v>
      </c>
      <c r="G1107" t="s">
        <v>3064</v>
      </c>
      <c r="H1107">
        <v>3</v>
      </c>
      <c r="I1107" t="s">
        <v>3070</v>
      </c>
      <c r="J1107">
        <v>1427.07</v>
      </c>
    </row>
    <row r="1108" spans="1:10" x14ac:dyDescent="0.25">
      <c r="A1108" t="s">
        <v>1116</v>
      </c>
      <c r="B1108" t="s">
        <v>2307</v>
      </c>
      <c r="C1108" t="s">
        <v>2402</v>
      </c>
      <c r="D1108">
        <v>1</v>
      </c>
      <c r="E1108">
        <v>372.8</v>
      </c>
      <c r="F1108" t="s">
        <v>2419</v>
      </c>
      <c r="G1108" t="s">
        <v>3065</v>
      </c>
      <c r="H1108">
        <v>6</v>
      </c>
      <c r="I1108" t="s">
        <v>3069</v>
      </c>
      <c r="J1108">
        <v>372.8</v>
      </c>
    </row>
    <row r="1109" spans="1:10" x14ac:dyDescent="0.25">
      <c r="A1109" t="s">
        <v>1117</v>
      </c>
      <c r="B1109" t="s">
        <v>2308</v>
      </c>
      <c r="C1109" t="s">
        <v>2401</v>
      </c>
      <c r="D1109">
        <v>2</v>
      </c>
      <c r="E1109">
        <v>63.21</v>
      </c>
      <c r="F1109" t="s">
        <v>2835</v>
      </c>
      <c r="G1109" t="s">
        <v>3062</v>
      </c>
      <c r="H1109">
        <v>4</v>
      </c>
      <c r="I1109" t="s">
        <v>3070</v>
      </c>
      <c r="J1109">
        <v>126.42</v>
      </c>
    </row>
    <row r="1110" spans="1:10" x14ac:dyDescent="0.25">
      <c r="A1110" t="s">
        <v>1118</v>
      </c>
      <c r="B1110" t="s">
        <v>2309</v>
      </c>
      <c r="C1110" t="s">
        <v>2404</v>
      </c>
      <c r="D1110">
        <v>1</v>
      </c>
      <c r="E1110">
        <v>634.94000000000005</v>
      </c>
      <c r="F1110" t="s">
        <v>3030</v>
      </c>
      <c r="G1110" t="s">
        <v>3062</v>
      </c>
      <c r="H1110">
        <v>5</v>
      </c>
      <c r="I1110" t="s">
        <v>3066</v>
      </c>
      <c r="J1110">
        <v>634.94000000000005</v>
      </c>
    </row>
    <row r="1111" spans="1:10" x14ac:dyDescent="0.25">
      <c r="A1111" t="s">
        <v>1119</v>
      </c>
      <c r="B1111" t="s">
        <v>2310</v>
      </c>
      <c r="C1111" t="s">
        <v>2403</v>
      </c>
      <c r="D1111">
        <v>4</v>
      </c>
      <c r="E1111">
        <v>77.47</v>
      </c>
      <c r="F1111" t="s">
        <v>2764</v>
      </c>
      <c r="G1111" t="s">
        <v>3064</v>
      </c>
      <c r="H1111">
        <v>7</v>
      </c>
      <c r="I1111" t="s">
        <v>3066</v>
      </c>
      <c r="J1111">
        <v>309.88</v>
      </c>
    </row>
    <row r="1112" spans="1:10" x14ac:dyDescent="0.25">
      <c r="A1112" t="s">
        <v>1120</v>
      </c>
      <c r="B1112" t="s">
        <v>2311</v>
      </c>
      <c r="C1112" t="s">
        <v>2402</v>
      </c>
      <c r="D1112">
        <v>3</v>
      </c>
      <c r="E1112">
        <v>84.31</v>
      </c>
      <c r="F1112" t="s">
        <v>2439</v>
      </c>
      <c r="G1112" t="s">
        <v>3063</v>
      </c>
      <c r="H1112">
        <v>3</v>
      </c>
      <c r="I1112" t="s">
        <v>3068</v>
      </c>
      <c r="J1112">
        <v>252.93</v>
      </c>
    </row>
    <row r="1113" spans="1:10" x14ac:dyDescent="0.25">
      <c r="A1113" t="s">
        <v>1121</v>
      </c>
      <c r="B1113" t="s">
        <v>2312</v>
      </c>
      <c r="C1113" t="s">
        <v>2399</v>
      </c>
      <c r="D1113">
        <v>4</v>
      </c>
      <c r="E1113">
        <v>234.45</v>
      </c>
      <c r="F1113" t="s">
        <v>3031</v>
      </c>
      <c r="G1113" t="s">
        <v>3062</v>
      </c>
      <c r="H1113">
        <v>9</v>
      </c>
      <c r="I1113" t="s">
        <v>3066</v>
      </c>
      <c r="J1113">
        <v>937.8</v>
      </c>
    </row>
    <row r="1114" spans="1:10" x14ac:dyDescent="0.25">
      <c r="A1114" t="s">
        <v>1122</v>
      </c>
      <c r="B1114" t="s">
        <v>2313</v>
      </c>
      <c r="C1114" t="s">
        <v>2405</v>
      </c>
      <c r="D1114">
        <v>1</v>
      </c>
      <c r="E1114">
        <v>356.81</v>
      </c>
      <c r="F1114" t="s">
        <v>2522</v>
      </c>
      <c r="G1114" t="s">
        <v>3062</v>
      </c>
      <c r="H1114">
        <v>1</v>
      </c>
      <c r="I1114" t="s">
        <v>3066</v>
      </c>
      <c r="J1114">
        <v>356.81</v>
      </c>
    </row>
    <row r="1115" spans="1:10" x14ac:dyDescent="0.25">
      <c r="A1115" t="s">
        <v>1123</v>
      </c>
      <c r="B1115" t="s">
        <v>2314</v>
      </c>
      <c r="C1115" t="s">
        <v>2405</v>
      </c>
      <c r="D1115">
        <v>4</v>
      </c>
      <c r="E1115">
        <v>209.99</v>
      </c>
      <c r="F1115" t="s">
        <v>2978</v>
      </c>
      <c r="G1115" t="s">
        <v>3065</v>
      </c>
      <c r="H1115">
        <v>8</v>
      </c>
      <c r="I1115" t="s">
        <v>3070</v>
      </c>
      <c r="J1115">
        <v>839.96</v>
      </c>
    </row>
    <row r="1116" spans="1:10" x14ac:dyDescent="0.25">
      <c r="A1116" t="s">
        <v>1124</v>
      </c>
      <c r="B1116" t="s">
        <v>2315</v>
      </c>
      <c r="C1116" t="s">
        <v>2401</v>
      </c>
      <c r="D1116">
        <v>3</v>
      </c>
      <c r="E1116">
        <v>659.88</v>
      </c>
      <c r="F1116" t="s">
        <v>2587</v>
      </c>
      <c r="G1116" t="s">
        <v>3064</v>
      </c>
      <c r="H1116">
        <v>3</v>
      </c>
      <c r="I1116" t="s">
        <v>3070</v>
      </c>
      <c r="J1116">
        <v>1979.64</v>
      </c>
    </row>
    <row r="1117" spans="1:10" x14ac:dyDescent="0.25">
      <c r="A1117" t="s">
        <v>1125</v>
      </c>
      <c r="B1117" t="s">
        <v>2316</v>
      </c>
      <c r="C1117" t="s">
        <v>2404</v>
      </c>
      <c r="D1117">
        <v>2</v>
      </c>
      <c r="E1117">
        <v>336.32</v>
      </c>
      <c r="F1117" t="s">
        <v>2609</v>
      </c>
      <c r="G1117" t="s">
        <v>3062</v>
      </c>
      <c r="H1117">
        <v>3</v>
      </c>
      <c r="I1117" t="s">
        <v>3070</v>
      </c>
      <c r="J1117">
        <v>672.64</v>
      </c>
    </row>
    <row r="1118" spans="1:10" x14ac:dyDescent="0.25">
      <c r="A1118" t="s">
        <v>1126</v>
      </c>
      <c r="B1118" t="s">
        <v>2317</v>
      </c>
      <c r="C1118" t="s">
        <v>2403</v>
      </c>
      <c r="D1118">
        <v>2</v>
      </c>
      <c r="E1118">
        <v>531.49</v>
      </c>
      <c r="F1118" t="s">
        <v>2609</v>
      </c>
      <c r="G1118" t="s">
        <v>3063</v>
      </c>
      <c r="H1118">
        <v>7</v>
      </c>
      <c r="I1118" t="s">
        <v>3069</v>
      </c>
      <c r="J1118">
        <v>1062.98</v>
      </c>
    </row>
    <row r="1119" spans="1:10" x14ac:dyDescent="0.25">
      <c r="A1119" t="s">
        <v>1127</v>
      </c>
      <c r="B1119" t="s">
        <v>2318</v>
      </c>
      <c r="C1119" t="s">
        <v>2402</v>
      </c>
      <c r="D1119">
        <v>3</v>
      </c>
      <c r="E1119">
        <v>588.44000000000005</v>
      </c>
      <c r="F1119" t="s">
        <v>2730</v>
      </c>
      <c r="G1119" t="s">
        <v>3064</v>
      </c>
      <c r="H1119">
        <v>8</v>
      </c>
      <c r="I1119" t="s">
        <v>3070</v>
      </c>
      <c r="J1119">
        <v>1765.32</v>
      </c>
    </row>
    <row r="1120" spans="1:10" x14ac:dyDescent="0.25">
      <c r="A1120" t="s">
        <v>1128</v>
      </c>
      <c r="B1120" t="s">
        <v>2319</v>
      </c>
      <c r="C1120" t="s">
        <v>2400</v>
      </c>
      <c r="D1120">
        <v>3</v>
      </c>
      <c r="E1120">
        <v>251.48</v>
      </c>
      <c r="F1120" t="s">
        <v>2725</v>
      </c>
      <c r="G1120" t="s">
        <v>3063</v>
      </c>
      <c r="H1120">
        <v>4</v>
      </c>
      <c r="I1120" t="s">
        <v>3068</v>
      </c>
      <c r="J1120">
        <v>754.43999999999994</v>
      </c>
    </row>
    <row r="1121" spans="1:10" x14ac:dyDescent="0.25">
      <c r="A1121" t="s">
        <v>1129</v>
      </c>
      <c r="B1121" t="s">
        <v>2320</v>
      </c>
      <c r="C1121" t="s">
        <v>2404</v>
      </c>
      <c r="D1121">
        <v>1</v>
      </c>
      <c r="E1121">
        <v>684.65</v>
      </c>
      <c r="F1121" t="s">
        <v>2630</v>
      </c>
      <c r="G1121" t="s">
        <v>3063</v>
      </c>
      <c r="H1121">
        <v>1</v>
      </c>
      <c r="I1121" t="s">
        <v>3068</v>
      </c>
      <c r="J1121">
        <v>684.65</v>
      </c>
    </row>
    <row r="1122" spans="1:10" x14ac:dyDescent="0.25">
      <c r="A1122" t="s">
        <v>1130</v>
      </c>
      <c r="B1122" t="s">
        <v>2321</v>
      </c>
      <c r="C1122" t="s">
        <v>2401</v>
      </c>
      <c r="D1122">
        <v>1</v>
      </c>
      <c r="E1122">
        <v>195.86</v>
      </c>
      <c r="F1122" t="s">
        <v>2446</v>
      </c>
      <c r="G1122" t="s">
        <v>3062</v>
      </c>
      <c r="H1122">
        <v>3</v>
      </c>
      <c r="I1122" t="s">
        <v>3069</v>
      </c>
      <c r="J1122">
        <v>195.86</v>
      </c>
    </row>
    <row r="1123" spans="1:10" x14ac:dyDescent="0.25">
      <c r="A1123" t="s">
        <v>1131</v>
      </c>
      <c r="B1123" t="s">
        <v>2322</v>
      </c>
      <c r="C1123" t="s">
        <v>2400</v>
      </c>
      <c r="D1123">
        <v>3</v>
      </c>
      <c r="E1123">
        <v>50.34</v>
      </c>
      <c r="F1123" t="s">
        <v>2961</v>
      </c>
      <c r="G1123" t="s">
        <v>3064</v>
      </c>
      <c r="H1123">
        <v>3</v>
      </c>
      <c r="I1123" t="s">
        <v>3066</v>
      </c>
      <c r="J1123">
        <v>151.02000000000001</v>
      </c>
    </row>
    <row r="1124" spans="1:10" x14ac:dyDescent="0.25">
      <c r="A1124" t="s">
        <v>1132</v>
      </c>
      <c r="B1124" t="s">
        <v>1476</v>
      </c>
      <c r="C1124" t="s">
        <v>2399</v>
      </c>
      <c r="D1124">
        <v>5</v>
      </c>
      <c r="E1124">
        <v>678.19</v>
      </c>
      <c r="F1124" t="s">
        <v>3004</v>
      </c>
      <c r="G1124" t="s">
        <v>3062</v>
      </c>
      <c r="H1124">
        <v>8</v>
      </c>
      <c r="I1124" t="s">
        <v>3069</v>
      </c>
      <c r="J1124">
        <v>3390.95</v>
      </c>
    </row>
    <row r="1125" spans="1:10" x14ac:dyDescent="0.25">
      <c r="A1125" t="s">
        <v>1133</v>
      </c>
      <c r="B1125" t="s">
        <v>2323</v>
      </c>
      <c r="C1125" t="s">
        <v>2401</v>
      </c>
      <c r="D1125">
        <v>3</v>
      </c>
      <c r="E1125">
        <v>554.25</v>
      </c>
      <c r="F1125" t="s">
        <v>3032</v>
      </c>
      <c r="G1125" t="s">
        <v>3061</v>
      </c>
      <c r="H1125">
        <v>6</v>
      </c>
      <c r="I1125" t="s">
        <v>3067</v>
      </c>
      <c r="J1125">
        <v>1662.75</v>
      </c>
    </row>
    <row r="1126" spans="1:10" x14ac:dyDescent="0.25">
      <c r="A1126" t="s">
        <v>1134</v>
      </c>
      <c r="B1126" t="s">
        <v>2324</v>
      </c>
      <c r="C1126" t="s">
        <v>2402</v>
      </c>
      <c r="D1126">
        <v>4</v>
      </c>
      <c r="E1126">
        <v>576.87</v>
      </c>
      <c r="F1126" t="s">
        <v>3033</v>
      </c>
      <c r="G1126" t="s">
        <v>3064</v>
      </c>
      <c r="H1126">
        <v>5</v>
      </c>
      <c r="I1126" t="s">
        <v>3066</v>
      </c>
      <c r="J1126">
        <v>2307.48</v>
      </c>
    </row>
    <row r="1127" spans="1:10" x14ac:dyDescent="0.25">
      <c r="A1127" t="s">
        <v>1135</v>
      </c>
      <c r="B1127" t="s">
        <v>2325</v>
      </c>
      <c r="C1127" t="s">
        <v>2405</v>
      </c>
      <c r="D1127">
        <v>4</v>
      </c>
      <c r="E1127">
        <v>408.36</v>
      </c>
      <c r="F1127" t="s">
        <v>2954</v>
      </c>
      <c r="G1127" t="s">
        <v>3064</v>
      </c>
      <c r="H1127">
        <v>4</v>
      </c>
      <c r="I1127" t="s">
        <v>3067</v>
      </c>
      <c r="J1127">
        <v>1633.44</v>
      </c>
    </row>
    <row r="1128" spans="1:10" x14ac:dyDescent="0.25">
      <c r="A1128" t="s">
        <v>1136</v>
      </c>
      <c r="B1128" t="s">
        <v>2326</v>
      </c>
      <c r="C1128" t="s">
        <v>2400</v>
      </c>
      <c r="D1128">
        <v>5</v>
      </c>
      <c r="E1128">
        <v>190.11</v>
      </c>
      <c r="F1128" t="s">
        <v>3034</v>
      </c>
      <c r="G1128" t="s">
        <v>3065</v>
      </c>
      <c r="H1128">
        <v>7</v>
      </c>
      <c r="I1128" t="s">
        <v>3070</v>
      </c>
      <c r="J1128">
        <v>950.55000000000007</v>
      </c>
    </row>
    <row r="1129" spans="1:10" x14ac:dyDescent="0.25">
      <c r="A1129" t="s">
        <v>1137</v>
      </c>
      <c r="B1129" t="s">
        <v>2327</v>
      </c>
      <c r="C1129" t="s">
        <v>2403</v>
      </c>
      <c r="D1129">
        <v>3</v>
      </c>
      <c r="E1129">
        <v>602.75</v>
      </c>
      <c r="F1129" t="s">
        <v>2935</v>
      </c>
      <c r="G1129" t="s">
        <v>3063</v>
      </c>
      <c r="H1129">
        <v>6</v>
      </c>
      <c r="I1129" t="s">
        <v>3068</v>
      </c>
      <c r="J1129">
        <v>1808.25</v>
      </c>
    </row>
    <row r="1130" spans="1:10" x14ac:dyDescent="0.25">
      <c r="A1130" t="s">
        <v>1138</v>
      </c>
      <c r="B1130" t="s">
        <v>2328</v>
      </c>
      <c r="C1130" t="s">
        <v>2399</v>
      </c>
      <c r="D1130">
        <v>3</v>
      </c>
      <c r="E1130">
        <v>646.79</v>
      </c>
      <c r="F1130" t="s">
        <v>2486</v>
      </c>
      <c r="G1130" t="s">
        <v>3065</v>
      </c>
      <c r="H1130">
        <v>5</v>
      </c>
      <c r="I1130" t="s">
        <v>3070</v>
      </c>
      <c r="J1130">
        <v>1940.37</v>
      </c>
    </row>
    <row r="1131" spans="1:10" x14ac:dyDescent="0.25">
      <c r="A1131" t="s">
        <v>1139</v>
      </c>
      <c r="B1131" t="s">
        <v>2329</v>
      </c>
      <c r="C1131" t="s">
        <v>2402</v>
      </c>
      <c r="D1131">
        <v>4</v>
      </c>
      <c r="E1131">
        <v>418.71</v>
      </c>
      <c r="F1131" t="s">
        <v>2476</v>
      </c>
      <c r="G1131" t="s">
        <v>3065</v>
      </c>
      <c r="H1131">
        <v>8</v>
      </c>
      <c r="I1131" t="s">
        <v>3066</v>
      </c>
      <c r="J1131">
        <v>1674.84</v>
      </c>
    </row>
    <row r="1132" spans="1:10" x14ac:dyDescent="0.25">
      <c r="A1132" t="s">
        <v>1140</v>
      </c>
      <c r="B1132" t="s">
        <v>2330</v>
      </c>
      <c r="C1132" t="s">
        <v>2404</v>
      </c>
      <c r="D1132">
        <v>2</v>
      </c>
      <c r="E1132">
        <v>323.45</v>
      </c>
      <c r="F1132" t="s">
        <v>2497</v>
      </c>
      <c r="G1132" t="s">
        <v>3063</v>
      </c>
      <c r="H1132">
        <v>5</v>
      </c>
      <c r="I1132" t="s">
        <v>3066</v>
      </c>
      <c r="J1132">
        <v>646.9</v>
      </c>
    </row>
    <row r="1133" spans="1:10" x14ac:dyDescent="0.25">
      <c r="A1133" t="s">
        <v>1141</v>
      </c>
      <c r="B1133" t="s">
        <v>2331</v>
      </c>
      <c r="C1133" t="s">
        <v>2400</v>
      </c>
      <c r="D1133">
        <v>1</v>
      </c>
      <c r="E1133">
        <v>694.5</v>
      </c>
      <c r="F1133" t="s">
        <v>2647</v>
      </c>
      <c r="G1133" t="s">
        <v>3063</v>
      </c>
      <c r="H1133">
        <v>3</v>
      </c>
      <c r="I1133" t="s">
        <v>3069</v>
      </c>
      <c r="J1133">
        <v>694.5</v>
      </c>
    </row>
    <row r="1134" spans="1:10" x14ac:dyDescent="0.25">
      <c r="A1134" t="s">
        <v>1142</v>
      </c>
      <c r="B1134" t="s">
        <v>2332</v>
      </c>
      <c r="C1134" t="s">
        <v>2402</v>
      </c>
      <c r="D1134">
        <v>2</v>
      </c>
      <c r="E1134">
        <v>337.32</v>
      </c>
      <c r="F1134" t="s">
        <v>2604</v>
      </c>
      <c r="G1134" t="s">
        <v>3063</v>
      </c>
      <c r="H1134">
        <v>4</v>
      </c>
      <c r="I1134" t="s">
        <v>3068</v>
      </c>
      <c r="J1134">
        <v>674.64</v>
      </c>
    </row>
    <row r="1135" spans="1:10" x14ac:dyDescent="0.25">
      <c r="A1135" t="s">
        <v>1143</v>
      </c>
      <c r="B1135" t="s">
        <v>2333</v>
      </c>
      <c r="C1135" t="s">
        <v>2403</v>
      </c>
      <c r="D1135">
        <v>2</v>
      </c>
      <c r="E1135">
        <v>467.91</v>
      </c>
      <c r="F1135" t="s">
        <v>2593</v>
      </c>
      <c r="G1135" t="s">
        <v>3064</v>
      </c>
      <c r="H1135">
        <v>5</v>
      </c>
      <c r="I1135" t="s">
        <v>3069</v>
      </c>
      <c r="J1135">
        <v>935.82</v>
      </c>
    </row>
    <row r="1136" spans="1:10" x14ac:dyDescent="0.25">
      <c r="A1136" t="s">
        <v>1144</v>
      </c>
      <c r="B1136" t="s">
        <v>2334</v>
      </c>
      <c r="C1136" t="s">
        <v>2405</v>
      </c>
      <c r="D1136">
        <v>4</v>
      </c>
      <c r="E1136">
        <v>38.28</v>
      </c>
      <c r="F1136" t="s">
        <v>3035</v>
      </c>
      <c r="G1136" t="s">
        <v>3061</v>
      </c>
      <c r="H1136">
        <v>4</v>
      </c>
      <c r="I1136" t="s">
        <v>3069</v>
      </c>
      <c r="J1136">
        <v>153.12</v>
      </c>
    </row>
    <row r="1137" spans="1:10" x14ac:dyDescent="0.25">
      <c r="A1137" t="s">
        <v>1145</v>
      </c>
      <c r="B1137" t="s">
        <v>2335</v>
      </c>
      <c r="C1137" t="s">
        <v>2403</v>
      </c>
      <c r="D1137">
        <v>2</v>
      </c>
      <c r="E1137">
        <v>73.41</v>
      </c>
      <c r="F1137" t="s">
        <v>2609</v>
      </c>
      <c r="G1137" t="s">
        <v>3062</v>
      </c>
      <c r="H1137">
        <v>2</v>
      </c>
      <c r="I1137" t="s">
        <v>3070</v>
      </c>
      <c r="J1137">
        <v>146.82</v>
      </c>
    </row>
    <row r="1138" spans="1:10" x14ac:dyDescent="0.25">
      <c r="A1138" t="s">
        <v>1146</v>
      </c>
      <c r="B1138" t="s">
        <v>2336</v>
      </c>
      <c r="C1138" t="s">
        <v>2401</v>
      </c>
      <c r="D1138">
        <v>3</v>
      </c>
      <c r="E1138">
        <v>668.33</v>
      </c>
      <c r="F1138" t="s">
        <v>2878</v>
      </c>
      <c r="G1138" t="s">
        <v>3064</v>
      </c>
      <c r="H1138">
        <v>4</v>
      </c>
      <c r="I1138" t="s">
        <v>3069</v>
      </c>
      <c r="J1138">
        <v>2004.99</v>
      </c>
    </row>
    <row r="1139" spans="1:10" x14ac:dyDescent="0.25">
      <c r="A1139" t="s">
        <v>1147</v>
      </c>
      <c r="B1139" t="s">
        <v>2337</v>
      </c>
      <c r="C1139" t="s">
        <v>2403</v>
      </c>
      <c r="D1139">
        <v>4</v>
      </c>
      <c r="E1139">
        <v>410.21</v>
      </c>
      <c r="F1139" t="s">
        <v>3036</v>
      </c>
      <c r="G1139" t="s">
        <v>3065</v>
      </c>
      <c r="H1139">
        <v>5</v>
      </c>
      <c r="I1139" t="s">
        <v>3066</v>
      </c>
      <c r="J1139">
        <v>1640.84</v>
      </c>
    </row>
    <row r="1140" spans="1:10" x14ac:dyDescent="0.25">
      <c r="A1140" t="s">
        <v>1148</v>
      </c>
      <c r="B1140" t="s">
        <v>2338</v>
      </c>
      <c r="C1140" t="s">
        <v>2405</v>
      </c>
      <c r="D1140">
        <v>4</v>
      </c>
      <c r="E1140">
        <v>294.41000000000003</v>
      </c>
      <c r="F1140" t="s">
        <v>2861</v>
      </c>
      <c r="G1140" t="s">
        <v>3061</v>
      </c>
      <c r="H1140">
        <v>4</v>
      </c>
      <c r="I1140" t="s">
        <v>3066</v>
      </c>
      <c r="J1140">
        <v>1177.6400000000001</v>
      </c>
    </row>
    <row r="1141" spans="1:10" x14ac:dyDescent="0.25">
      <c r="A1141" t="s">
        <v>1149</v>
      </c>
      <c r="B1141" t="s">
        <v>2252</v>
      </c>
      <c r="C1141" t="s">
        <v>2402</v>
      </c>
      <c r="D1141">
        <v>3</v>
      </c>
      <c r="E1141">
        <v>501.82</v>
      </c>
      <c r="F1141" t="s">
        <v>2434</v>
      </c>
      <c r="G1141" t="s">
        <v>3064</v>
      </c>
      <c r="H1141">
        <v>4</v>
      </c>
      <c r="I1141" t="s">
        <v>3068</v>
      </c>
      <c r="J1141">
        <v>1505.46</v>
      </c>
    </row>
    <row r="1142" spans="1:10" x14ac:dyDescent="0.25">
      <c r="A1142" t="s">
        <v>1150</v>
      </c>
      <c r="B1142" t="s">
        <v>2339</v>
      </c>
      <c r="C1142" t="s">
        <v>2403</v>
      </c>
      <c r="D1142">
        <v>2</v>
      </c>
      <c r="E1142">
        <v>552.83000000000004</v>
      </c>
      <c r="F1142" t="s">
        <v>2414</v>
      </c>
      <c r="G1142" t="s">
        <v>3063</v>
      </c>
      <c r="H1142">
        <v>3</v>
      </c>
      <c r="I1142" t="s">
        <v>3067</v>
      </c>
      <c r="J1142">
        <v>1105.6600000000001</v>
      </c>
    </row>
    <row r="1143" spans="1:10" x14ac:dyDescent="0.25">
      <c r="A1143" t="s">
        <v>1151</v>
      </c>
      <c r="B1143" t="s">
        <v>2340</v>
      </c>
      <c r="C1143" t="s">
        <v>2402</v>
      </c>
      <c r="D1143">
        <v>3</v>
      </c>
      <c r="E1143">
        <v>498.66</v>
      </c>
      <c r="F1143" t="s">
        <v>2423</v>
      </c>
      <c r="G1143" t="s">
        <v>3065</v>
      </c>
      <c r="H1143">
        <v>6</v>
      </c>
      <c r="I1143" t="s">
        <v>3068</v>
      </c>
      <c r="J1143">
        <v>1495.98</v>
      </c>
    </row>
    <row r="1144" spans="1:10" x14ac:dyDescent="0.25">
      <c r="A1144" t="s">
        <v>1152</v>
      </c>
      <c r="B1144" t="s">
        <v>2341</v>
      </c>
      <c r="C1144" t="s">
        <v>2400</v>
      </c>
      <c r="D1144">
        <v>4</v>
      </c>
      <c r="E1144">
        <v>695.1</v>
      </c>
      <c r="F1144" t="s">
        <v>3037</v>
      </c>
      <c r="G1144" t="s">
        <v>3061</v>
      </c>
      <c r="H1144">
        <v>8</v>
      </c>
      <c r="I1144" t="s">
        <v>3068</v>
      </c>
      <c r="J1144">
        <v>2780.4</v>
      </c>
    </row>
    <row r="1145" spans="1:10" x14ac:dyDescent="0.25">
      <c r="A1145" t="s">
        <v>1153</v>
      </c>
      <c r="B1145" t="s">
        <v>2342</v>
      </c>
      <c r="C1145" t="s">
        <v>2402</v>
      </c>
      <c r="D1145">
        <v>1</v>
      </c>
      <c r="E1145">
        <v>381.61</v>
      </c>
      <c r="F1145" t="s">
        <v>3038</v>
      </c>
      <c r="G1145" t="s">
        <v>3061</v>
      </c>
      <c r="H1145">
        <v>5</v>
      </c>
      <c r="I1145" t="s">
        <v>3068</v>
      </c>
      <c r="J1145">
        <v>381.61</v>
      </c>
    </row>
    <row r="1146" spans="1:10" x14ac:dyDescent="0.25">
      <c r="A1146" t="s">
        <v>1154</v>
      </c>
      <c r="B1146" t="s">
        <v>2343</v>
      </c>
      <c r="C1146" t="s">
        <v>2405</v>
      </c>
      <c r="D1146">
        <v>5</v>
      </c>
      <c r="E1146">
        <v>507.94</v>
      </c>
      <c r="F1146" t="s">
        <v>3039</v>
      </c>
      <c r="G1146" t="s">
        <v>3062</v>
      </c>
      <c r="H1146">
        <v>9</v>
      </c>
      <c r="I1146" t="s">
        <v>3069</v>
      </c>
      <c r="J1146">
        <v>2539.6999999999998</v>
      </c>
    </row>
    <row r="1147" spans="1:10" x14ac:dyDescent="0.25">
      <c r="A1147" t="s">
        <v>1155</v>
      </c>
      <c r="B1147" t="s">
        <v>2344</v>
      </c>
      <c r="C1147" t="s">
        <v>2405</v>
      </c>
      <c r="D1147">
        <v>3</v>
      </c>
      <c r="E1147">
        <v>571.53</v>
      </c>
      <c r="F1147" t="s">
        <v>2624</v>
      </c>
      <c r="G1147" t="s">
        <v>3061</v>
      </c>
      <c r="H1147">
        <v>6</v>
      </c>
      <c r="I1147" t="s">
        <v>3069</v>
      </c>
      <c r="J1147">
        <v>1714.59</v>
      </c>
    </row>
    <row r="1148" spans="1:10" x14ac:dyDescent="0.25">
      <c r="A1148" t="s">
        <v>1156</v>
      </c>
      <c r="B1148" t="s">
        <v>2345</v>
      </c>
      <c r="C1148" t="s">
        <v>2399</v>
      </c>
      <c r="D1148">
        <v>5</v>
      </c>
      <c r="E1148">
        <v>421.44</v>
      </c>
      <c r="F1148" t="s">
        <v>2757</v>
      </c>
      <c r="G1148" t="s">
        <v>3065</v>
      </c>
      <c r="H1148">
        <v>5</v>
      </c>
      <c r="I1148" t="s">
        <v>3066</v>
      </c>
      <c r="J1148">
        <v>2107.1999999999998</v>
      </c>
    </row>
    <row r="1149" spans="1:10" x14ac:dyDescent="0.25">
      <c r="A1149" t="s">
        <v>1157</v>
      </c>
      <c r="B1149" t="s">
        <v>2346</v>
      </c>
      <c r="C1149" t="s">
        <v>2402</v>
      </c>
      <c r="D1149">
        <v>2</v>
      </c>
      <c r="E1149">
        <v>588.29999999999995</v>
      </c>
      <c r="F1149" t="s">
        <v>3040</v>
      </c>
      <c r="G1149" t="s">
        <v>3062</v>
      </c>
      <c r="H1149">
        <v>2</v>
      </c>
      <c r="I1149" t="s">
        <v>3068</v>
      </c>
      <c r="J1149">
        <v>1176.5999999999999</v>
      </c>
    </row>
    <row r="1150" spans="1:10" x14ac:dyDescent="0.25">
      <c r="A1150" t="s">
        <v>1158</v>
      </c>
      <c r="B1150" t="s">
        <v>2347</v>
      </c>
      <c r="C1150" t="s">
        <v>2400</v>
      </c>
      <c r="D1150">
        <v>1</v>
      </c>
      <c r="E1150">
        <v>355.15</v>
      </c>
      <c r="F1150" t="s">
        <v>3041</v>
      </c>
      <c r="G1150" t="s">
        <v>3065</v>
      </c>
      <c r="H1150">
        <v>2</v>
      </c>
      <c r="I1150" t="s">
        <v>3068</v>
      </c>
      <c r="J1150">
        <v>355.15</v>
      </c>
    </row>
    <row r="1151" spans="1:10" x14ac:dyDescent="0.25">
      <c r="A1151" t="s">
        <v>1159</v>
      </c>
      <c r="B1151" t="s">
        <v>2348</v>
      </c>
      <c r="C1151" t="s">
        <v>2402</v>
      </c>
      <c r="D1151">
        <v>2</v>
      </c>
      <c r="E1151">
        <v>695.29</v>
      </c>
      <c r="F1151" t="s">
        <v>3042</v>
      </c>
      <c r="G1151" t="s">
        <v>3063</v>
      </c>
      <c r="H1151">
        <v>6</v>
      </c>
      <c r="I1151" t="s">
        <v>3066</v>
      </c>
      <c r="J1151">
        <v>1390.58</v>
      </c>
    </row>
    <row r="1152" spans="1:10" x14ac:dyDescent="0.25">
      <c r="A1152" t="s">
        <v>1160</v>
      </c>
      <c r="B1152" t="s">
        <v>2349</v>
      </c>
      <c r="C1152" t="s">
        <v>2405</v>
      </c>
      <c r="D1152">
        <v>4</v>
      </c>
      <c r="E1152">
        <v>302.64999999999998</v>
      </c>
      <c r="F1152" t="s">
        <v>2638</v>
      </c>
      <c r="G1152" t="s">
        <v>3063</v>
      </c>
      <c r="H1152">
        <v>8</v>
      </c>
      <c r="I1152" t="s">
        <v>3067</v>
      </c>
      <c r="J1152">
        <v>1210.5999999999999</v>
      </c>
    </row>
    <row r="1153" spans="1:10" x14ac:dyDescent="0.25">
      <c r="A1153" t="s">
        <v>1161</v>
      </c>
      <c r="B1153" t="s">
        <v>2350</v>
      </c>
      <c r="C1153" t="s">
        <v>2402</v>
      </c>
      <c r="D1153">
        <v>2</v>
      </c>
      <c r="E1153">
        <v>608.04</v>
      </c>
      <c r="F1153" t="s">
        <v>3043</v>
      </c>
      <c r="G1153" t="s">
        <v>3065</v>
      </c>
      <c r="H1153">
        <v>4</v>
      </c>
      <c r="I1153" t="s">
        <v>3070</v>
      </c>
      <c r="J1153">
        <v>1216.08</v>
      </c>
    </row>
    <row r="1154" spans="1:10" x14ac:dyDescent="0.25">
      <c r="A1154" t="s">
        <v>1162</v>
      </c>
      <c r="B1154" t="s">
        <v>2351</v>
      </c>
      <c r="C1154" t="s">
        <v>2401</v>
      </c>
      <c r="D1154">
        <v>2</v>
      </c>
      <c r="E1154">
        <v>344.18</v>
      </c>
      <c r="F1154" t="s">
        <v>2497</v>
      </c>
      <c r="G1154" t="s">
        <v>3063</v>
      </c>
      <c r="H1154">
        <v>7</v>
      </c>
      <c r="I1154" t="s">
        <v>3067</v>
      </c>
      <c r="J1154">
        <v>688.36</v>
      </c>
    </row>
    <row r="1155" spans="1:10" x14ac:dyDescent="0.25">
      <c r="A1155" t="s">
        <v>1163</v>
      </c>
      <c r="B1155" t="s">
        <v>2352</v>
      </c>
      <c r="C1155" t="s">
        <v>2399</v>
      </c>
      <c r="D1155">
        <v>4</v>
      </c>
      <c r="E1155">
        <v>696.71</v>
      </c>
      <c r="F1155" t="s">
        <v>3044</v>
      </c>
      <c r="G1155" t="s">
        <v>3061</v>
      </c>
      <c r="H1155">
        <v>4</v>
      </c>
      <c r="I1155" t="s">
        <v>3066</v>
      </c>
      <c r="J1155">
        <v>2786.84</v>
      </c>
    </row>
    <row r="1156" spans="1:10" x14ac:dyDescent="0.25">
      <c r="A1156" t="s">
        <v>1164</v>
      </c>
      <c r="B1156" t="s">
        <v>2353</v>
      </c>
      <c r="C1156" t="s">
        <v>2399</v>
      </c>
      <c r="D1156">
        <v>3</v>
      </c>
      <c r="E1156">
        <v>198.63</v>
      </c>
      <c r="F1156" t="s">
        <v>2516</v>
      </c>
      <c r="G1156" t="s">
        <v>3065</v>
      </c>
      <c r="H1156">
        <v>8</v>
      </c>
      <c r="I1156" t="s">
        <v>3066</v>
      </c>
      <c r="J1156">
        <v>595.89</v>
      </c>
    </row>
    <row r="1157" spans="1:10" x14ac:dyDescent="0.25">
      <c r="A1157" t="s">
        <v>1165</v>
      </c>
      <c r="B1157" t="s">
        <v>2354</v>
      </c>
      <c r="C1157" t="s">
        <v>2403</v>
      </c>
      <c r="D1157">
        <v>4</v>
      </c>
      <c r="E1157">
        <v>534.57000000000005</v>
      </c>
      <c r="F1157" t="s">
        <v>2554</v>
      </c>
      <c r="G1157" t="s">
        <v>3063</v>
      </c>
      <c r="H1157">
        <v>6</v>
      </c>
      <c r="I1157" t="s">
        <v>3069</v>
      </c>
      <c r="J1157">
        <v>2138.2800000000002</v>
      </c>
    </row>
    <row r="1158" spans="1:10" x14ac:dyDescent="0.25">
      <c r="A1158" t="s">
        <v>1166</v>
      </c>
      <c r="B1158" t="s">
        <v>2355</v>
      </c>
      <c r="C1158" t="s">
        <v>2404</v>
      </c>
      <c r="D1158">
        <v>4</v>
      </c>
      <c r="E1158">
        <v>690.78</v>
      </c>
      <c r="F1158" t="s">
        <v>2420</v>
      </c>
      <c r="G1158" t="s">
        <v>3063</v>
      </c>
      <c r="H1158">
        <v>9</v>
      </c>
      <c r="I1158" t="s">
        <v>3067</v>
      </c>
      <c r="J1158">
        <v>2763.12</v>
      </c>
    </row>
    <row r="1159" spans="1:10" x14ac:dyDescent="0.25">
      <c r="A1159" t="s">
        <v>1167</v>
      </c>
      <c r="B1159" t="s">
        <v>2356</v>
      </c>
      <c r="C1159" t="s">
        <v>2399</v>
      </c>
      <c r="D1159">
        <v>3</v>
      </c>
      <c r="E1159">
        <v>301.55</v>
      </c>
      <c r="F1159" t="s">
        <v>2601</v>
      </c>
      <c r="G1159" t="s">
        <v>3061</v>
      </c>
      <c r="H1159">
        <v>5</v>
      </c>
      <c r="I1159" t="s">
        <v>3070</v>
      </c>
      <c r="J1159">
        <v>904.65000000000009</v>
      </c>
    </row>
    <row r="1160" spans="1:10" x14ac:dyDescent="0.25">
      <c r="A1160" t="s">
        <v>1168</v>
      </c>
      <c r="B1160" t="s">
        <v>2357</v>
      </c>
      <c r="C1160" t="s">
        <v>2399</v>
      </c>
      <c r="D1160">
        <v>4</v>
      </c>
      <c r="E1160">
        <v>27.42</v>
      </c>
      <c r="F1160" t="s">
        <v>2751</v>
      </c>
      <c r="G1160" t="s">
        <v>3061</v>
      </c>
      <c r="H1160">
        <v>4</v>
      </c>
      <c r="I1160" t="s">
        <v>3067</v>
      </c>
      <c r="J1160">
        <v>109.68</v>
      </c>
    </row>
    <row r="1161" spans="1:10" x14ac:dyDescent="0.25">
      <c r="A1161" t="s">
        <v>1169</v>
      </c>
      <c r="B1161" t="s">
        <v>2358</v>
      </c>
      <c r="C1161" t="s">
        <v>2405</v>
      </c>
      <c r="D1161">
        <v>4</v>
      </c>
      <c r="E1161">
        <v>466.7</v>
      </c>
      <c r="F1161" t="s">
        <v>2762</v>
      </c>
      <c r="G1161" t="s">
        <v>3061</v>
      </c>
      <c r="H1161">
        <v>8</v>
      </c>
      <c r="I1161" t="s">
        <v>3066</v>
      </c>
      <c r="J1161">
        <v>1866.8</v>
      </c>
    </row>
    <row r="1162" spans="1:10" x14ac:dyDescent="0.25">
      <c r="A1162" t="s">
        <v>1170</v>
      </c>
      <c r="B1162" t="s">
        <v>2359</v>
      </c>
      <c r="C1162" t="s">
        <v>2405</v>
      </c>
      <c r="D1162">
        <v>1</v>
      </c>
      <c r="E1162">
        <v>541.64</v>
      </c>
      <c r="F1162" t="s">
        <v>2773</v>
      </c>
      <c r="G1162" t="s">
        <v>3061</v>
      </c>
      <c r="H1162">
        <v>5</v>
      </c>
      <c r="I1162" t="s">
        <v>3068</v>
      </c>
      <c r="J1162">
        <v>541.64</v>
      </c>
    </row>
    <row r="1163" spans="1:10" x14ac:dyDescent="0.25">
      <c r="A1163" t="s">
        <v>1171</v>
      </c>
      <c r="B1163" t="s">
        <v>2360</v>
      </c>
      <c r="C1163" t="s">
        <v>2400</v>
      </c>
      <c r="D1163">
        <v>1</v>
      </c>
      <c r="E1163">
        <v>11.39</v>
      </c>
      <c r="F1163" t="s">
        <v>2689</v>
      </c>
      <c r="G1163" t="s">
        <v>3065</v>
      </c>
      <c r="H1163">
        <v>6</v>
      </c>
      <c r="I1163" t="s">
        <v>3068</v>
      </c>
      <c r="J1163">
        <v>11.39</v>
      </c>
    </row>
    <row r="1164" spans="1:10" x14ac:dyDescent="0.25">
      <c r="A1164" t="s">
        <v>1172</v>
      </c>
      <c r="B1164" t="s">
        <v>2361</v>
      </c>
      <c r="C1164" t="s">
        <v>2400</v>
      </c>
      <c r="D1164">
        <v>2</v>
      </c>
      <c r="E1164">
        <v>224.37</v>
      </c>
      <c r="F1164" t="s">
        <v>3045</v>
      </c>
      <c r="G1164" t="s">
        <v>3061</v>
      </c>
      <c r="H1164">
        <v>3</v>
      </c>
      <c r="I1164" t="s">
        <v>3067</v>
      </c>
      <c r="J1164">
        <v>448.74</v>
      </c>
    </row>
    <row r="1165" spans="1:10" x14ac:dyDescent="0.25">
      <c r="A1165" t="s">
        <v>1173</v>
      </c>
      <c r="B1165" t="s">
        <v>2362</v>
      </c>
      <c r="C1165" t="s">
        <v>2404</v>
      </c>
      <c r="D1165">
        <v>3</v>
      </c>
      <c r="E1165">
        <v>306.29000000000002</v>
      </c>
      <c r="F1165" t="s">
        <v>3046</v>
      </c>
      <c r="G1165" t="s">
        <v>3063</v>
      </c>
      <c r="H1165">
        <v>7</v>
      </c>
      <c r="I1165" t="s">
        <v>3066</v>
      </c>
      <c r="J1165">
        <v>918.87000000000012</v>
      </c>
    </row>
    <row r="1166" spans="1:10" x14ac:dyDescent="0.25">
      <c r="A1166" t="s">
        <v>1174</v>
      </c>
      <c r="B1166" t="s">
        <v>2363</v>
      </c>
      <c r="C1166" t="s">
        <v>2401</v>
      </c>
      <c r="D1166">
        <v>5</v>
      </c>
      <c r="E1166">
        <v>315.57</v>
      </c>
      <c r="F1166" t="s">
        <v>2822</v>
      </c>
      <c r="G1166" t="s">
        <v>3061</v>
      </c>
      <c r="H1166">
        <v>6</v>
      </c>
      <c r="I1166" t="s">
        <v>3068</v>
      </c>
      <c r="J1166">
        <v>1577.85</v>
      </c>
    </row>
    <row r="1167" spans="1:10" x14ac:dyDescent="0.25">
      <c r="A1167" t="s">
        <v>1175</v>
      </c>
      <c r="B1167" t="s">
        <v>2364</v>
      </c>
      <c r="C1167" t="s">
        <v>2402</v>
      </c>
      <c r="D1167">
        <v>3</v>
      </c>
      <c r="E1167">
        <v>223.79</v>
      </c>
      <c r="F1167" t="s">
        <v>3047</v>
      </c>
      <c r="G1167" t="s">
        <v>3061</v>
      </c>
      <c r="H1167">
        <v>3</v>
      </c>
      <c r="I1167" t="s">
        <v>3070</v>
      </c>
      <c r="J1167">
        <v>671.37</v>
      </c>
    </row>
    <row r="1168" spans="1:10" x14ac:dyDescent="0.25">
      <c r="A1168" t="s">
        <v>1176</v>
      </c>
      <c r="B1168" t="s">
        <v>2365</v>
      </c>
      <c r="C1168" t="s">
        <v>2402</v>
      </c>
      <c r="D1168">
        <v>3</v>
      </c>
      <c r="E1168">
        <v>324.47000000000003</v>
      </c>
      <c r="F1168" t="s">
        <v>2482</v>
      </c>
      <c r="G1168" t="s">
        <v>3065</v>
      </c>
      <c r="H1168">
        <v>4</v>
      </c>
      <c r="I1168" t="s">
        <v>3068</v>
      </c>
      <c r="J1168">
        <v>973.41000000000008</v>
      </c>
    </row>
    <row r="1169" spans="1:10" x14ac:dyDescent="0.25">
      <c r="A1169" t="s">
        <v>1177</v>
      </c>
      <c r="B1169" t="s">
        <v>2366</v>
      </c>
      <c r="C1169" t="s">
        <v>2403</v>
      </c>
      <c r="D1169">
        <v>2</v>
      </c>
      <c r="E1169">
        <v>92.87</v>
      </c>
      <c r="F1169" t="s">
        <v>2641</v>
      </c>
      <c r="G1169" t="s">
        <v>3063</v>
      </c>
      <c r="H1169">
        <v>5</v>
      </c>
      <c r="I1169" t="s">
        <v>3069</v>
      </c>
      <c r="J1169">
        <v>185.74</v>
      </c>
    </row>
    <row r="1170" spans="1:10" x14ac:dyDescent="0.25">
      <c r="A1170" t="s">
        <v>1178</v>
      </c>
      <c r="B1170" t="s">
        <v>2367</v>
      </c>
      <c r="C1170" t="s">
        <v>2404</v>
      </c>
      <c r="D1170">
        <v>2</v>
      </c>
      <c r="E1170">
        <v>331.42</v>
      </c>
      <c r="F1170" t="s">
        <v>3048</v>
      </c>
      <c r="G1170" t="s">
        <v>3063</v>
      </c>
      <c r="H1170">
        <v>6</v>
      </c>
      <c r="I1170" t="s">
        <v>3070</v>
      </c>
      <c r="J1170">
        <v>662.84</v>
      </c>
    </row>
    <row r="1171" spans="1:10" x14ac:dyDescent="0.25">
      <c r="A1171" t="s">
        <v>1179</v>
      </c>
      <c r="B1171" t="s">
        <v>2368</v>
      </c>
      <c r="C1171" t="s">
        <v>2402</v>
      </c>
      <c r="D1171">
        <v>1</v>
      </c>
      <c r="E1171">
        <v>525.42999999999995</v>
      </c>
      <c r="F1171" t="s">
        <v>3049</v>
      </c>
      <c r="G1171" t="s">
        <v>3065</v>
      </c>
      <c r="H1171">
        <v>2</v>
      </c>
      <c r="I1171" t="s">
        <v>3066</v>
      </c>
      <c r="J1171">
        <v>525.42999999999995</v>
      </c>
    </row>
    <row r="1172" spans="1:10" x14ac:dyDescent="0.25">
      <c r="A1172" t="s">
        <v>1180</v>
      </c>
      <c r="B1172" t="s">
        <v>2369</v>
      </c>
      <c r="C1172" t="s">
        <v>2403</v>
      </c>
      <c r="D1172">
        <v>2</v>
      </c>
      <c r="E1172">
        <v>697.19</v>
      </c>
      <c r="F1172" t="s">
        <v>2603</v>
      </c>
      <c r="G1172" t="s">
        <v>3065</v>
      </c>
      <c r="H1172">
        <v>7</v>
      </c>
      <c r="I1172" t="s">
        <v>3068</v>
      </c>
      <c r="J1172">
        <v>1394.38</v>
      </c>
    </row>
    <row r="1173" spans="1:10" x14ac:dyDescent="0.25">
      <c r="A1173" t="s">
        <v>1181</v>
      </c>
      <c r="B1173" t="s">
        <v>2370</v>
      </c>
      <c r="C1173" t="s">
        <v>2400</v>
      </c>
      <c r="D1173">
        <v>4</v>
      </c>
      <c r="E1173">
        <v>518.4</v>
      </c>
      <c r="F1173" t="s">
        <v>3050</v>
      </c>
      <c r="G1173" t="s">
        <v>3063</v>
      </c>
      <c r="H1173">
        <v>7</v>
      </c>
      <c r="I1173" t="s">
        <v>3069</v>
      </c>
      <c r="J1173">
        <v>2073.6</v>
      </c>
    </row>
    <row r="1174" spans="1:10" x14ac:dyDescent="0.25">
      <c r="A1174" t="s">
        <v>1182</v>
      </c>
      <c r="B1174" t="s">
        <v>2371</v>
      </c>
      <c r="C1174" t="s">
        <v>2405</v>
      </c>
      <c r="D1174">
        <v>3</v>
      </c>
      <c r="E1174">
        <v>131.96</v>
      </c>
      <c r="F1174" t="s">
        <v>2789</v>
      </c>
      <c r="G1174" t="s">
        <v>3063</v>
      </c>
      <c r="H1174">
        <v>8</v>
      </c>
      <c r="I1174" t="s">
        <v>3066</v>
      </c>
      <c r="J1174">
        <v>395.88</v>
      </c>
    </row>
    <row r="1175" spans="1:10" x14ac:dyDescent="0.25">
      <c r="A1175" t="s">
        <v>1183</v>
      </c>
      <c r="B1175" t="s">
        <v>2372</v>
      </c>
      <c r="C1175" t="s">
        <v>2399</v>
      </c>
      <c r="D1175">
        <v>1</v>
      </c>
      <c r="E1175">
        <v>208.36</v>
      </c>
      <c r="F1175" t="s">
        <v>2887</v>
      </c>
      <c r="G1175" t="s">
        <v>3062</v>
      </c>
      <c r="H1175">
        <v>4</v>
      </c>
      <c r="I1175" t="s">
        <v>3068</v>
      </c>
      <c r="J1175">
        <v>208.36</v>
      </c>
    </row>
    <row r="1176" spans="1:10" x14ac:dyDescent="0.25">
      <c r="A1176" t="s">
        <v>1184</v>
      </c>
      <c r="B1176" t="s">
        <v>2373</v>
      </c>
      <c r="C1176" t="s">
        <v>2403</v>
      </c>
      <c r="D1176">
        <v>3</v>
      </c>
      <c r="E1176">
        <v>222.34</v>
      </c>
      <c r="F1176" t="s">
        <v>3051</v>
      </c>
      <c r="G1176" t="s">
        <v>3063</v>
      </c>
      <c r="H1176">
        <v>5</v>
      </c>
      <c r="I1176" t="s">
        <v>3068</v>
      </c>
      <c r="J1176">
        <v>667.02</v>
      </c>
    </row>
    <row r="1177" spans="1:10" x14ac:dyDescent="0.25">
      <c r="A1177" t="s">
        <v>1185</v>
      </c>
      <c r="B1177" t="s">
        <v>2374</v>
      </c>
      <c r="C1177" t="s">
        <v>2403</v>
      </c>
      <c r="D1177">
        <v>3</v>
      </c>
      <c r="E1177">
        <v>91.74</v>
      </c>
      <c r="F1177" t="s">
        <v>2662</v>
      </c>
      <c r="G1177" t="s">
        <v>3061</v>
      </c>
      <c r="H1177">
        <v>8</v>
      </c>
      <c r="I1177" t="s">
        <v>3067</v>
      </c>
      <c r="J1177">
        <v>275.22000000000003</v>
      </c>
    </row>
    <row r="1178" spans="1:10" x14ac:dyDescent="0.25">
      <c r="A1178" t="s">
        <v>1186</v>
      </c>
      <c r="B1178" t="s">
        <v>2375</v>
      </c>
      <c r="C1178" t="s">
        <v>2401</v>
      </c>
      <c r="D1178">
        <v>2</v>
      </c>
      <c r="E1178">
        <v>213.83</v>
      </c>
      <c r="F1178" t="s">
        <v>3052</v>
      </c>
      <c r="G1178" t="s">
        <v>3061</v>
      </c>
      <c r="H1178">
        <v>2</v>
      </c>
      <c r="I1178" t="s">
        <v>3068</v>
      </c>
      <c r="J1178">
        <v>427.66</v>
      </c>
    </row>
    <row r="1179" spans="1:10" x14ac:dyDescent="0.25">
      <c r="A1179" t="s">
        <v>1187</v>
      </c>
      <c r="B1179" t="s">
        <v>2376</v>
      </c>
      <c r="C1179" t="s">
        <v>2403</v>
      </c>
      <c r="D1179">
        <v>1</v>
      </c>
      <c r="E1179">
        <v>127.55</v>
      </c>
      <c r="F1179" t="s">
        <v>2745</v>
      </c>
      <c r="G1179" t="s">
        <v>3065</v>
      </c>
      <c r="H1179">
        <v>3</v>
      </c>
      <c r="I1179" t="s">
        <v>3067</v>
      </c>
      <c r="J1179">
        <v>127.55</v>
      </c>
    </row>
    <row r="1180" spans="1:10" x14ac:dyDescent="0.25">
      <c r="A1180" t="s">
        <v>1188</v>
      </c>
      <c r="B1180" t="s">
        <v>2377</v>
      </c>
      <c r="C1180" t="s">
        <v>2399</v>
      </c>
      <c r="D1180">
        <v>1</v>
      </c>
      <c r="E1180">
        <v>70.239999999999995</v>
      </c>
      <c r="F1180" t="s">
        <v>2612</v>
      </c>
      <c r="G1180" t="s">
        <v>3063</v>
      </c>
      <c r="H1180">
        <v>4</v>
      </c>
      <c r="I1180" t="s">
        <v>3070</v>
      </c>
      <c r="J1180">
        <v>70.239999999999995</v>
      </c>
    </row>
    <row r="1181" spans="1:10" x14ac:dyDescent="0.25">
      <c r="A1181" t="s">
        <v>1189</v>
      </c>
      <c r="B1181" t="s">
        <v>2378</v>
      </c>
      <c r="C1181" t="s">
        <v>2404</v>
      </c>
      <c r="D1181">
        <v>5</v>
      </c>
      <c r="E1181">
        <v>518.54999999999995</v>
      </c>
      <c r="F1181" t="s">
        <v>2705</v>
      </c>
      <c r="G1181" t="s">
        <v>3063</v>
      </c>
      <c r="H1181">
        <v>6</v>
      </c>
      <c r="I1181" t="s">
        <v>3066</v>
      </c>
      <c r="J1181">
        <v>2592.75</v>
      </c>
    </row>
    <row r="1182" spans="1:10" x14ac:dyDescent="0.25">
      <c r="A1182" t="s">
        <v>1190</v>
      </c>
      <c r="B1182" t="s">
        <v>2379</v>
      </c>
      <c r="C1182" t="s">
        <v>2402</v>
      </c>
      <c r="D1182">
        <v>4</v>
      </c>
      <c r="E1182">
        <v>298.36</v>
      </c>
      <c r="F1182" t="s">
        <v>2801</v>
      </c>
      <c r="G1182" t="s">
        <v>3061</v>
      </c>
      <c r="H1182">
        <v>8</v>
      </c>
      <c r="I1182" t="s">
        <v>3070</v>
      </c>
      <c r="J1182">
        <v>1193.44</v>
      </c>
    </row>
    <row r="1183" spans="1:10" x14ac:dyDescent="0.25">
      <c r="A1183" t="s">
        <v>1191</v>
      </c>
      <c r="B1183" t="s">
        <v>2380</v>
      </c>
      <c r="C1183" t="s">
        <v>2405</v>
      </c>
      <c r="D1183">
        <v>3</v>
      </c>
      <c r="E1183">
        <v>158.74</v>
      </c>
      <c r="F1183" t="s">
        <v>2690</v>
      </c>
      <c r="G1183" t="s">
        <v>3062</v>
      </c>
      <c r="H1183">
        <v>7</v>
      </c>
      <c r="I1183" t="s">
        <v>3066</v>
      </c>
      <c r="J1183">
        <v>476.22</v>
      </c>
    </row>
    <row r="1184" spans="1:10" x14ac:dyDescent="0.25">
      <c r="A1184" t="s">
        <v>1192</v>
      </c>
      <c r="B1184" t="s">
        <v>2381</v>
      </c>
      <c r="C1184" t="s">
        <v>2402</v>
      </c>
      <c r="D1184">
        <v>2</v>
      </c>
      <c r="E1184">
        <v>420.29</v>
      </c>
      <c r="F1184" t="s">
        <v>2831</v>
      </c>
      <c r="G1184" t="s">
        <v>3064</v>
      </c>
      <c r="H1184">
        <v>3</v>
      </c>
      <c r="I1184" t="s">
        <v>3070</v>
      </c>
      <c r="J1184">
        <v>840.58</v>
      </c>
    </row>
    <row r="1185" spans="1:10" x14ac:dyDescent="0.25">
      <c r="A1185" t="s">
        <v>1193</v>
      </c>
      <c r="B1185" t="s">
        <v>2382</v>
      </c>
      <c r="C1185" t="s">
        <v>2405</v>
      </c>
      <c r="D1185">
        <v>1</v>
      </c>
      <c r="E1185">
        <v>281.52</v>
      </c>
      <c r="F1185" t="s">
        <v>2629</v>
      </c>
      <c r="G1185" t="s">
        <v>3064</v>
      </c>
      <c r="H1185">
        <v>6</v>
      </c>
      <c r="I1185" t="s">
        <v>3067</v>
      </c>
      <c r="J1185">
        <v>281.52</v>
      </c>
    </row>
    <row r="1186" spans="1:10" x14ac:dyDescent="0.25">
      <c r="A1186" t="s">
        <v>1194</v>
      </c>
      <c r="B1186" t="s">
        <v>2383</v>
      </c>
      <c r="C1186" t="s">
        <v>2404</v>
      </c>
      <c r="D1186">
        <v>1</v>
      </c>
      <c r="E1186">
        <v>204.08</v>
      </c>
      <c r="F1186" t="s">
        <v>2934</v>
      </c>
      <c r="G1186" t="s">
        <v>3064</v>
      </c>
      <c r="H1186">
        <v>4</v>
      </c>
      <c r="I1186" t="s">
        <v>3070</v>
      </c>
      <c r="J1186">
        <v>204.08</v>
      </c>
    </row>
    <row r="1187" spans="1:10" x14ac:dyDescent="0.25">
      <c r="A1187" t="s">
        <v>1195</v>
      </c>
      <c r="B1187" t="s">
        <v>2384</v>
      </c>
      <c r="C1187" t="s">
        <v>2402</v>
      </c>
      <c r="D1187">
        <v>1</v>
      </c>
      <c r="E1187">
        <v>343.31</v>
      </c>
      <c r="F1187" t="s">
        <v>3053</v>
      </c>
      <c r="G1187" t="s">
        <v>3064</v>
      </c>
      <c r="H1187">
        <v>6</v>
      </c>
      <c r="I1187" t="s">
        <v>3070</v>
      </c>
      <c r="J1187">
        <v>343.31</v>
      </c>
    </row>
    <row r="1188" spans="1:10" x14ac:dyDescent="0.25">
      <c r="A1188" t="s">
        <v>1196</v>
      </c>
      <c r="B1188" t="s">
        <v>2385</v>
      </c>
      <c r="C1188" t="s">
        <v>2399</v>
      </c>
      <c r="D1188">
        <v>1</v>
      </c>
      <c r="E1188">
        <v>163.32</v>
      </c>
      <c r="F1188" t="s">
        <v>3054</v>
      </c>
      <c r="G1188" t="s">
        <v>3065</v>
      </c>
      <c r="H1188">
        <v>6</v>
      </c>
      <c r="I1188" t="s">
        <v>3069</v>
      </c>
      <c r="J1188">
        <v>163.32</v>
      </c>
    </row>
    <row r="1189" spans="1:10" x14ac:dyDescent="0.25">
      <c r="A1189" t="s">
        <v>1197</v>
      </c>
      <c r="B1189" t="s">
        <v>2386</v>
      </c>
      <c r="C1189" t="s">
        <v>2405</v>
      </c>
      <c r="D1189">
        <v>2</v>
      </c>
      <c r="E1189">
        <v>184.6</v>
      </c>
      <c r="F1189" t="s">
        <v>2609</v>
      </c>
      <c r="G1189" t="s">
        <v>3064</v>
      </c>
      <c r="H1189">
        <v>7</v>
      </c>
      <c r="I1189" t="s">
        <v>3068</v>
      </c>
      <c r="J1189">
        <v>369.2</v>
      </c>
    </row>
    <row r="1190" spans="1:10" x14ac:dyDescent="0.25">
      <c r="A1190" t="s">
        <v>1198</v>
      </c>
      <c r="B1190" t="s">
        <v>2387</v>
      </c>
      <c r="C1190" t="s">
        <v>2403</v>
      </c>
      <c r="D1190">
        <v>2</v>
      </c>
      <c r="E1190">
        <v>371.29</v>
      </c>
      <c r="F1190" t="s">
        <v>3055</v>
      </c>
      <c r="G1190" t="s">
        <v>3064</v>
      </c>
      <c r="H1190">
        <v>5</v>
      </c>
      <c r="I1190" t="s">
        <v>3069</v>
      </c>
      <c r="J1190">
        <v>742.58</v>
      </c>
    </row>
    <row r="1191" spans="1:10" x14ac:dyDescent="0.25">
      <c r="A1191" t="s">
        <v>1199</v>
      </c>
      <c r="B1191" t="s">
        <v>2388</v>
      </c>
      <c r="C1191" t="s">
        <v>2401</v>
      </c>
      <c r="D1191">
        <v>5</v>
      </c>
      <c r="E1191">
        <v>389.22</v>
      </c>
      <c r="F1191" t="s">
        <v>3056</v>
      </c>
      <c r="G1191" t="s">
        <v>3065</v>
      </c>
      <c r="H1191">
        <v>7</v>
      </c>
      <c r="I1191" t="s">
        <v>3067</v>
      </c>
      <c r="J1191">
        <v>1946.1</v>
      </c>
    </row>
    <row r="1192" spans="1:10" x14ac:dyDescent="0.25">
      <c r="A1192" t="s">
        <v>1200</v>
      </c>
      <c r="B1192" t="s">
        <v>2389</v>
      </c>
      <c r="C1192" t="s">
        <v>2405</v>
      </c>
      <c r="D1192">
        <v>3</v>
      </c>
      <c r="E1192">
        <v>616.39</v>
      </c>
      <c r="F1192" t="s">
        <v>3057</v>
      </c>
      <c r="G1192" t="s">
        <v>3063</v>
      </c>
      <c r="H1192">
        <v>6</v>
      </c>
      <c r="I1192" t="s">
        <v>3066</v>
      </c>
      <c r="J1192">
        <v>1849.17</v>
      </c>
    </row>
    <row r="1193" spans="1:10" x14ac:dyDescent="0.25">
      <c r="A1193" t="s">
        <v>1201</v>
      </c>
      <c r="B1193" t="s">
        <v>2390</v>
      </c>
      <c r="C1193" t="s">
        <v>2405</v>
      </c>
      <c r="D1193">
        <v>4</v>
      </c>
      <c r="E1193">
        <v>376.43</v>
      </c>
      <c r="F1193" t="s">
        <v>2837</v>
      </c>
      <c r="G1193" t="s">
        <v>3064</v>
      </c>
      <c r="H1193">
        <v>5</v>
      </c>
      <c r="I1193" t="s">
        <v>3066</v>
      </c>
      <c r="J1193">
        <v>1505.72</v>
      </c>
    </row>
    <row r="1194" spans="1:10" x14ac:dyDescent="0.25">
      <c r="A1194" t="s">
        <v>1202</v>
      </c>
      <c r="B1194" t="s">
        <v>2391</v>
      </c>
      <c r="C1194" t="s">
        <v>2402</v>
      </c>
      <c r="D1194">
        <v>3</v>
      </c>
      <c r="E1194">
        <v>432.85</v>
      </c>
      <c r="F1194" t="s">
        <v>2589</v>
      </c>
      <c r="G1194" t="s">
        <v>3062</v>
      </c>
      <c r="H1194">
        <v>4</v>
      </c>
      <c r="I1194" t="s">
        <v>3066</v>
      </c>
      <c r="J1194">
        <v>1298.55</v>
      </c>
    </row>
    <row r="1195" spans="1:10" x14ac:dyDescent="0.25">
      <c r="A1195" t="s">
        <v>1203</v>
      </c>
      <c r="B1195" t="s">
        <v>2392</v>
      </c>
      <c r="C1195" t="s">
        <v>2401</v>
      </c>
      <c r="D1195">
        <v>1</v>
      </c>
      <c r="E1195">
        <v>687.89</v>
      </c>
      <c r="F1195" t="s">
        <v>2477</v>
      </c>
      <c r="G1195" t="s">
        <v>3065</v>
      </c>
      <c r="H1195">
        <v>1</v>
      </c>
      <c r="I1195" t="s">
        <v>3068</v>
      </c>
      <c r="J1195">
        <v>687.89</v>
      </c>
    </row>
    <row r="1196" spans="1:10" x14ac:dyDescent="0.25">
      <c r="A1196" t="s">
        <v>1204</v>
      </c>
      <c r="B1196" t="s">
        <v>2393</v>
      </c>
      <c r="C1196" t="s">
        <v>2403</v>
      </c>
      <c r="D1196">
        <v>3</v>
      </c>
      <c r="E1196">
        <v>189.44</v>
      </c>
      <c r="F1196" t="s">
        <v>2578</v>
      </c>
      <c r="G1196" t="s">
        <v>3065</v>
      </c>
      <c r="H1196">
        <v>4</v>
      </c>
      <c r="I1196" t="s">
        <v>3068</v>
      </c>
      <c r="J1196">
        <v>568.31999999999994</v>
      </c>
    </row>
    <row r="1197" spans="1:10" x14ac:dyDescent="0.25">
      <c r="A1197" t="s">
        <v>1205</v>
      </c>
      <c r="B1197" t="s">
        <v>2394</v>
      </c>
      <c r="C1197" t="s">
        <v>2405</v>
      </c>
      <c r="D1197">
        <v>1</v>
      </c>
      <c r="E1197">
        <v>107.04</v>
      </c>
      <c r="F1197" t="s">
        <v>3058</v>
      </c>
      <c r="G1197" t="s">
        <v>3063</v>
      </c>
      <c r="H1197">
        <v>6</v>
      </c>
      <c r="I1197" t="s">
        <v>3070</v>
      </c>
      <c r="J1197">
        <v>107.04</v>
      </c>
    </row>
    <row r="1198" spans="1:10" x14ac:dyDescent="0.25">
      <c r="A1198" t="s">
        <v>1206</v>
      </c>
      <c r="B1198" t="s">
        <v>2395</v>
      </c>
      <c r="C1198" t="s">
        <v>2399</v>
      </c>
      <c r="D1198">
        <v>2</v>
      </c>
      <c r="E1198">
        <v>662.53</v>
      </c>
      <c r="F1198" t="s">
        <v>2726</v>
      </c>
      <c r="G1198" t="s">
        <v>3062</v>
      </c>
      <c r="H1198">
        <v>5</v>
      </c>
      <c r="I1198" t="s">
        <v>3069</v>
      </c>
      <c r="J1198">
        <v>1325.06</v>
      </c>
    </row>
    <row r="1199" spans="1:10" x14ac:dyDescent="0.25">
      <c r="A1199" t="s">
        <v>1207</v>
      </c>
      <c r="B1199" t="s">
        <v>2396</v>
      </c>
      <c r="C1199" t="s">
        <v>2401</v>
      </c>
      <c r="D1199">
        <v>2</v>
      </c>
      <c r="E1199">
        <v>436.84</v>
      </c>
      <c r="F1199" t="s">
        <v>2409</v>
      </c>
      <c r="G1199" t="s">
        <v>3062</v>
      </c>
      <c r="H1199">
        <v>2</v>
      </c>
      <c r="I1199" t="s">
        <v>3066</v>
      </c>
      <c r="J1199">
        <v>873.68</v>
      </c>
    </row>
    <row r="1200" spans="1:10" x14ac:dyDescent="0.25">
      <c r="A1200" t="s">
        <v>1208</v>
      </c>
      <c r="B1200" t="s">
        <v>2397</v>
      </c>
      <c r="C1200" t="s">
        <v>2402</v>
      </c>
      <c r="D1200">
        <v>4</v>
      </c>
      <c r="E1200">
        <v>262.52</v>
      </c>
      <c r="F1200" t="s">
        <v>3059</v>
      </c>
      <c r="G1200" t="s">
        <v>3061</v>
      </c>
      <c r="H1200">
        <v>4</v>
      </c>
      <c r="I1200" t="s">
        <v>3066</v>
      </c>
      <c r="J1200">
        <v>1050.08</v>
      </c>
    </row>
    <row r="1201" spans="1:10" x14ac:dyDescent="0.25">
      <c r="A1201" t="s">
        <v>1209</v>
      </c>
      <c r="B1201" t="s">
        <v>2398</v>
      </c>
      <c r="C1201" t="s">
        <v>2401</v>
      </c>
      <c r="D1201">
        <v>4</v>
      </c>
      <c r="E1201">
        <v>560.58000000000004</v>
      </c>
      <c r="F1201" t="s">
        <v>3060</v>
      </c>
      <c r="G1201" t="s">
        <v>3064</v>
      </c>
      <c r="H1201">
        <v>6</v>
      </c>
      <c r="I1201" t="s">
        <v>3067</v>
      </c>
      <c r="J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2F39E-681B-4C26-B0CB-2735EAA0EA54}">
  <dimension ref="A3:B12"/>
  <sheetViews>
    <sheetView workbookViewId="0">
      <selection activeCell="K17" sqref="K17"/>
    </sheetView>
  </sheetViews>
  <sheetFormatPr defaultRowHeight="15" x14ac:dyDescent="0.25"/>
  <cols>
    <col min="1" max="1" width="13.140625" bestFit="1" customWidth="1"/>
    <col min="2" max="2" width="16" bestFit="1" customWidth="1"/>
  </cols>
  <sheetData>
    <row r="3" spans="1:2" x14ac:dyDescent="0.25">
      <c r="A3" s="5" t="s">
        <v>3074</v>
      </c>
      <c r="B3" t="s">
        <v>3075</v>
      </c>
    </row>
    <row r="4" spans="1:2" x14ac:dyDescent="0.25">
      <c r="A4" s="6" t="s">
        <v>2402</v>
      </c>
      <c r="B4">
        <v>63307.529999999992</v>
      </c>
    </row>
    <row r="5" spans="1:2" x14ac:dyDescent="0.25">
      <c r="A5" s="6" t="s">
        <v>2405</v>
      </c>
      <c r="B5">
        <v>56033.379999999961</v>
      </c>
    </row>
    <row r="6" spans="1:2" x14ac:dyDescent="0.25">
      <c r="A6" s="6" t="s">
        <v>2404</v>
      </c>
      <c r="B6">
        <v>61883.319999999985</v>
      </c>
    </row>
    <row r="7" spans="1:2" x14ac:dyDescent="0.25">
      <c r="A7" s="6" t="s">
        <v>2399</v>
      </c>
      <c r="B7">
        <v>58462.17</v>
      </c>
    </row>
    <row r="8" spans="1:2" x14ac:dyDescent="0.25">
      <c r="A8" s="6" t="s">
        <v>2400</v>
      </c>
      <c r="B8">
        <v>58533.940000000017</v>
      </c>
    </row>
    <row r="9" spans="1:2" x14ac:dyDescent="0.25">
      <c r="A9" s="6" t="s">
        <v>2403</v>
      </c>
      <c r="B9">
        <v>63660.400000000045</v>
      </c>
    </row>
    <row r="10" spans="1:2" x14ac:dyDescent="0.25">
      <c r="A10" s="6" t="s">
        <v>2401</v>
      </c>
      <c r="B10">
        <v>65814.559999999969</v>
      </c>
    </row>
    <row r="11" spans="1:2" x14ac:dyDescent="0.25">
      <c r="A11" s="6" t="s">
        <v>3076</v>
      </c>
    </row>
    <row r="12" spans="1:2" x14ac:dyDescent="0.25">
      <c r="A12" s="6" t="s">
        <v>3077</v>
      </c>
      <c r="B12">
        <v>427695.29999999993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2C10B-A220-4230-BFBD-3B497C0DF399}">
  <dimension ref="A3:B10"/>
  <sheetViews>
    <sheetView zoomScale="85" zoomScaleNormal="85" workbookViewId="0">
      <selection activeCell="K20" sqref="K20"/>
    </sheetView>
  </sheetViews>
  <sheetFormatPr defaultRowHeight="15" x14ac:dyDescent="0.25"/>
  <cols>
    <col min="1" max="1" width="13.28515625" bestFit="1" customWidth="1"/>
    <col min="2" max="2" width="16.140625" bestFit="1" customWidth="1"/>
  </cols>
  <sheetData>
    <row r="3" spans="1:2" x14ac:dyDescent="0.25">
      <c r="A3" s="5" t="s">
        <v>3074</v>
      </c>
      <c r="B3" t="s">
        <v>3080</v>
      </c>
    </row>
    <row r="4" spans="1:2" x14ac:dyDescent="0.25">
      <c r="A4" s="6" t="s">
        <v>3068</v>
      </c>
      <c r="B4">
        <v>250</v>
      </c>
    </row>
    <row r="5" spans="1:2" x14ac:dyDescent="0.25">
      <c r="A5" s="6" t="s">
        <v>3069</v>
      </c>
      <c r="B5">
        <v>228</v>
      </c>
    </row>
    <row r="6" spans="1:2" x14ac:dyDescent="0.25">
      <c r="A6" s="6" t="s">
        <v>3070</v>
      </c>
      <c r="B6">
        <v>241</v>
      </c>
    </row>
    <row r="7" spans="1:2" x14ac:dyDescent="0.25">
      <c r="A7" s="6" t="s">
        <v>3066</v>
      </c>
      <c r="B7">
        <v>259</v>
      </c>
    </row>
    <row r="8" spans="1:2" x14ac:dyDescent="0.25">
      <c r="A8" s="6" t="s">
        <v>3067</v>
      </c>
      <c r="B8">
        <v>222</v>
      </c>
    </row>
    <row r="9" spans="1:2" x14ac:dyDescent="0.25">
      <c r="A9" s="6" t="s">
        <v>3076</v>
      </c>
    </row>
    <row r="10" spans="1:2" x14ac:dyDescent="0.25">
      <c r="A10" s="6" t="s">
        <v>3077</v>
      </c>
      <c r="B10">
        <v>1200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0F93-6490-42A3-AA8D-5D781F79D27E}">
  <dimension ref="A3:J16"/>
  <sheetViews>
    <sheetView topLeftCell="C1" workbookViewId="0">
      <selection activeCell="M1" sqref="M1"/>
    </sheetView>
  </sheetViews>
  <sheetFormatPr defaultRowHeight="15" x14ac:dyDescent="0.25"/>
  <cols>
    <col min="1" max="1" width="16" bestFit="1" customWidth="1"/>
    <col min="2" max="2" width="16.28515625" bestFit="1" customWidth="1"/>
    <col min="3" max="8" width="9" bestFit="1" customWidth="1"/>
    <col min="9" max="9" width="7.28515625" bestFit="1" customWidth="1"/>
    <col min="10" max="10" width="11.28515625" bestFit="1" customWidth="1"/>
  </cols>
  <sheetData>
    <row r="3" spans="1:10" x14ac:dyDescent="0.25">
      <c r="A3" s="5" t="s">
        <v>3075</v>
      </c>
      <c r="B3" s="5" t="s">
        <v>3081</v>
      </c>
    </row>
    <row r="4" spans="1:10" x14ac:dyDescent="0.25">
      <c r="A4" s="5" t="s">
        <v>3074</v>
      </c>
      <c r="B4" t="s">
        <v>2402</v>
      </c>
      <c r="C4" t="s">
        <v>2405</v>
      </c>
      <c r="D4" t="s">
        <v>2404</v>
      </c>
      <c r="E4" t="s">
        <v>2399</v>
      </c>
      <c r="F4" t="s">
        <v>2400</v>
      </c>
      <c r="G4" t="s">
        <v>2403</v>
      </c>
      <c r="H4" t="s">
        <v>2401</v>
      </c>
      <c r="I4" t="s">
        <v>3076</v>
      </c>
      <c r="J4" t="s">
        <v>3077</v>
      </c>
    </row>
    <row r="5" spans="1:10" x14ac:dyDescent="0.25">
      <c r="A5" s="6">
        <v>1</v>
      </c>
      <c r="B5">
        <v>1237.08</v>
      </c>
      <c r="C5">
        <v>1438.03</v>
      </c>
      <c r="D5">
        <v>2240.0300000000002</v>
      </c>
      <c r="E5">
        <v>3156.89</v>
      </c>
      <c r="F5">
        <v>4215.96</v>
      </c>
      <c r="G5">
        <v>1749.8299999999997</v>
      </c>
      <c r="H5">
        <v>4396.1900000000005</v>
      </c>
      <c r="J5">
        <v>18434.009999999998</v>
      </c>
    </row>
    <row r="6" spans="1:10" x14ac:dyDescent="0.25">
      <c r="A6" s="6">
        <v>2</v>
      </c>
      <c r="B6">
        <v>3929.7499999999995</v>
      </c>
      <c r="C6">
        <v>4576.8100000000004</v>
      </c>
      <c r="D6">
        <v>4057.7599999999998</v>
      </c>
      <c r="E6">
        <v>3063.73</v>
      </c>
      <c r="F6">
        <v>5625.75</v>
      </c>
      <c r="G6">
        <v>2223.12</v>
      </c>
      <c r="H6">
        <v>3904.33</v>
      </c>
      <c r="J6">
        <v>27381.25</v>
      </c>
    </row>
    <row r="7" spans="1:10" x14ac:dyDescent="0.25">
      <c r="A7" s="6">
        <v>3</v>
      </c>
      <c r="B7">
        <v>2650.96</v>
      </c>
      <c r="C7">
        <v>6368.7500000000018</v>
      </c>
      <c r="D7">
        <v>6971.8699999999981</v>
      </c>
      <c r="E7">
        <v>4656.58</v>
      </c>
      <c r="F7">
        <v>6023.9199999999992</v>
      </c>
      <c r="G7">
        <v>9345.94</v>
      </c>
      <c r="H7">
        <v>6560.9800000000005</v>
      </c>
      <c r="J7">
        <v>42579.000000000007</v>
      </c>
    </row>
    <row r="8" spans="1:10" x14ac:dyDescent="0.25">
      <c r="A8" s="6">
        <v>4</v>
      </c>
      <c r="B8">
        <v>9083.15</v>
      </c>
      <c r="C8">
        <v>5589.35</v>
      </c>
      <c r="D8">
        <v>8470.630000000001</v>
      </c>
      <c r="E8">
        <v>10038.329999999998</v>
      </c>
      <c r="F8">
        <v>10277.85</v>
      </c>
      <c r="G8">
        <v>5455.7999999999993</v>
      </c>
      <c r="H8">
        <v>6353.7500000000009</v>
      </c>
      <c r="J8">
        <v>55268.86</v>
      </c>
    </row>
    <row r="9" spans="1:10" x14ac:dyDescent="0.25">
      <c r="A9" s="6">
        <v>5</v>
      </c>
      <c r="B9">
        <v>11962.930000000002</v>
      </c>
      <c r="C9">
        <v>9357.1</v>
      </c>
      <c r="D9">
        <v>10236.910000000002</v>
      </c>
      <c r="E9">
        <v>9162.4800000000014</v>
      </c>
      <c r="F9">
        <v>9042.19</v>
      </c>
      <c r="G9">
        <v>9002.510000000002</v>
      </c>
      <c r="H9">
        <v>13015.539999999999</v>
      </c>
      <c r="J9">
        <v>71779.66</v>
      </c>
    </row>
    <row r="10" spans="1:10" x14ac:dyDescent="0.25">
      <c r="A10" s="6">
        <v>6</v>
      </c>
      <c r="B10">
        <v>14183.929999999998</v>
      </c>
      <c r="C10">
        <v>8948.1200000000008</v>
      </c>
      <c r="D10">
        <v>11471.399999999998</v>
      </c>
      <c r="E10">
        <v>7010.5399999999991</v>
      </c>
      <c r="F10">
        <v>7856.6499999999987</v>
      </c>
      <c r="G10">
        <v>11254.09</v>
      </c>
      <c r="H10">
        <v>9295.7700000000023</v>
      </c>
      <c r="J10">
        <v>70020.5</v>
      </c>
    </row>
    <row r="11" spans="1:10" x14ac:dyDescent="0.25">
      <c r="A11" s="6">
        <v>7</v>
      </c>
      <c r="B11">
        <v>6938.8399999999992</v>
      </c>
      <c r="C11">
        <v>8259.4</v>
      </c>
      <c r="D11">
        <v>7472.8399999999983</v>
      </c>
      <c r="E11">
        <v>9157.36</v>
      </c>
      <c r="F11">
        <v>3841.4500000000003</v>
      </c>
      <c r="G11">
        <v>8790.5400000000009</v>
      </c>
      <c r="H11">
        <v>6820.9000000000015</v>
      </c>
      <c r="J11">
        <v>51281.329999999994</v>
      </c>
    </row>
    <row r="12" spans="1:10" x14ac:dyDescent="0.25">
      <c r="A12" s="6">
        <v>8</v>
      </c>
      <c r="B12">
        <v>7947.1</v>
      </c>
      <c r="C12">
        <v>6146.1399999999994</v>
      </c>
      <c r="D12">
        <v>5814.1899999999987</v>
      </c>
      <c r="E12">
        <v>6327.7300000000005</v>
      </c>
      <c r="F12">
        <v>6058.59</v>
      </c>
      <c r="G12">
        <v>9170.02</v>
      </c>
      <c r="H12">
        <v>6896.0300000000007</v>
      </c>
      <c r="J12">
        <v>48359.8</v>
      </c>
    </row>
    <row r="13" spans="1:10" x14ac:dyDescent="0.25">
      <c r="A13" s="6">
        <v>9</v>
      </c>
      <c r="B13">
        <v>2743.42</v>
      </c>
      <c r="C13">
        <v>2846.9199999999996</v>
      </c>
      <c r="D13">
        <v>3134.2699999999995</v>
      </c>
      <c r="E13">
        <v>2483.13</v>
      </c>
      <c r="F13">
        <v>4921.6699999999992</v>
      </c>
      <c r="G13">
        <v>4902.6899999999996</v>
      </c>
      <c r="H13">
        <v>5521.1799999999985</v>
      </c>
      <c r="J13">
        <v>26553.279999999999</v>
      </c>
    </row>
    <row r="14" spans="1:10" x14ac:dyDescent="0.25">
      <c r="A14" s="6">
        <v>10</v>
      </c>
      <c r="B14">
        <v>2630.37</v>
      </c>
      <c r="C14">
        <v>2502.7599999999998</v>
      </c>
      <c r="D14">
        <v>2013.4199999999998</v>
      </c>
      <c r="E14">
        <v>3405.4000000000005</v>
      </c>
      <c r="F14">
        <v>669.91000000000008</v>
      </c>
      <c r="G14">
        <v>1765.8600000000001</v>
      </c>
      <c r="H14">
        <v>3049.89</v>
      </c>
      <c r="J14">
        <v>16037.61</v>
      </c>
    </row>
    <row r="15" spans="1:10" x14ac:dyDescent="0.25">
      <c r="A15" s="6" t="s">
        <v>3076</v>
      </c>
    </row>
    <row r="16" spans="1:10" x14ac:dyDescent="0.25">
      <c r="A16" s="6" t="s">
        <v>3077</v>
      </c>
      <c r="B16">
        <v>63307.53</v>
      </c>
      <c r="C16">
        <v>56033.380000000005</v>
      </c>
      <c r="D16">
        <v>61883.32</v>
      </c>
      <c r="E16">
        <v>58462.170000000006</v>
      </c>
      <c r="F16">
        <v>58533.94</v>
      </c>
      <c r="G16">
        <v>63660.400000000009</v>
      </c>
      <c r="H16">
        <v>65814.560000000012</v>
      </c>
      <c r="J16">
        <v>427695.30000000005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735D-6601-46F2-B87E-1FB42AF1748B}">
  <dimension ref="A3:D12"/>
  <sheetViews>
    <sheetView topLeftCell="B1" workbookViewId="0">
      <selection activeCell="G19" sqref="G19"/>
    </sheetView>
  </sheetViews>
  <sheetFormatPr defaultRowHeight="15" x14ac:dyDescent="0.25"/>
  <cols>
    <col min="1" max="1" width="13.140625" bestFit="1" customWidth="1"/>
    <col min="2" max="2" width="15.42578125" bestFit="1" customWidth="1"/>
    <col min="3" max="3" width="18.140625" bestFit="1" customWidth="1"/>
    <col min="4" max="4" width="16.140625" bestFit="1" customWidth="1"/>
  </cols>
  <sheetData>
    <row r="3" spans="1:4" x14ac:dyDescent="0.25">
      <c r="A3" s="5" t="s">
        <v>3074</v>
      </c>
      <c r="B3" t="s">
        <v>3078</v>
      </c>
      <c r="C3" t="s">
        <v>3079</v>
      </c>
      <c r="D3" t="s">
        <v>3080</v>
      </c>
    </row>
    <row r="4" spans="1:4" x14ac:dyDescent="0.25">
      <c r="A4" s="6" t="s">
        <v>2402</v>
      </c>
      <c r="B4">
        <v>562</v>
      </c>
      <c r="C4">
        <v>1029</v>
      </c>
      <c r="D4">
        <v>178</v>
      </c>
    </row>
    <row r="5" spans="1:4" x14ac:dyDescent="0.25">
      <c r="A5" s="6" t="s">
        <v>2405</v>
      </c>
      <c r="B5">
        <v>508</v>
      </c>
      <c r="C5">
        <v>948</v>
      </c>
      <c r="D5">
        <v>170</v>
      </c>
    </row>
    <row r="6" spans="1:4" x14ac:dyDescent="0.25">
      <c r="A6" s="6" t="s">
        <v>2404</v>
      </c>
      <c r="B6">
        <v>535</v>
      </c>
      <c r="C6">
        <v>924</v>
      </c>
      <c r="D6">
        <v>173</v>
      </c>
    </row>
    <row r="7" spans="1:4" x14ac:dyDescent="0.25">
      <c r="A7" s="6" t="s">
        <v>2399</v>
      </c>
      <c r="B7">
        <v>480</v>
      </c>
      <c r="C7">
        <v>906</v>
      </c>
      <c r="D7">
        <v>163</v>
      </c>
    </row>
    <row r="8" spans="1:4" x14ac:dyDescent="0.25">
      <c r="A8" s="6" t="s">
        <v>2400</v>
      </c>
      <c r="B8">
        <v>411</v>
      </c>
      <c r="C8">
        <v>792</v>
      </c>
      <c r="D8">
        <v>156</v>
      </c>
    </row>
    <row r="9" spans="1:4" x14ac:dyDescent="0.25">
      <c r="A9" s="6" t="s">
        <v>2403</v>
      </c>
      <c r="B9">
        <v>542</v>
      </c>
      <c r="C9">
        <v>998</v>
      </c>
      <c r="D9">
        <v>181</v>
      </c>
    </row>
    <row r="10" spans="1:4" x14ac:dyDescent="0.25">
      <c r="A10" s="6" t="s">
        <v>2401</v>
      </c>
      <c r="B10">
        <v>497</v>
      </c>
      <c r="C10">
        <v>985</v>
      </c>
      <c r="D10">
        <v>179</v>
      </c>
    </row>
    <row r="11" spans="1:4" x14ac:dyDescent="0.25">
      <c r="A11" s="6" t="s">
        <v>3076</v>
      </c>
    </row>
    <row r="12" spans="1:4" x14ac:dyDescent="0.25">
      <c r="A12" s="6" t="s">
        <v>3077</v>
      </c>
      <c r="B12">
        <v>3535</v>
      </c>
      <c r="C12">
        <v>6582</v>
      </c>
      <c r="D12">
        <v>1200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5E8C-AA02-43C6-B8EE-BA38A8D1F310}">
  <dimension ref="O21:O22"/>
  <sheetViews>
    <sheetView showGridLines="0" showRowColHeaders="0" tabSelected="1" zoomScale="87" zoomScaleNormal="87" workbookViewId="0">
      <selection activeCell="S8" sqref="S8"/>
      <extLst>
        <ext xmlns:xlsdti="http://schemas.microsoft.com/office/spreadsheetml/2023/showDataTypeIcons" uri="{77bfe23e-c014-4d31-8a63-9c772dbf06b6}">
          <xlsdti:showDataTypeIcons visible="0"/>
        </ext>
      </extLst>
    </sheetView>
  </sheetViews>
  <sheetFormatPr defaultRowHeight="15" x14ac:dyDescent="0.25"/>
  <sheetData>
    <row r="21" spans="15:15" ht="18.75" x14ac:dyDescent="0.3">
      <c r="O21" s="2"/>
    </row>
    <row r="22" spans="15:15" ht="18.75" x14ac:dyDescent="0.3">
      <c r="O22" s="2"/>
    </row>
  </sheetData>
  <pageMargins left="0.7" right="0.7" top="0.75" bottom="0.75" header="0.3" footer="0.3"/>
  <pageSetup scale="1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dc:creator>
  <cp:lastModifiedBy>S0028413</cp:lastModifiedBy>
  <dcterms:created xsi:type="dcterms:W3CDTF">2025-06-21T13:19:12Z</dcterms:created>
  <dcterms:modified xsi:type="dcterms:W3CDTF">2026-02-28T16:39:36Z</dcterms:modified>
</cp:coreProperties>
</file>